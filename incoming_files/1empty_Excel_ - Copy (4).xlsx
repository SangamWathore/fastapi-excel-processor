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D:\all_Protech\EXCEL\"/>
    </mc:Choice>
  </mc:AlternateContent>
  <xr:revisionPtr revIDLastSave="0" documentId="13_ncr:1_{51A2E7B6-1487-457F-8B14-83EC564F314D}" xr6:coauthVersionLast="47" xr6:coauthVersionMax="47" xr10:uidLastSave="{00000000-0000-0000-0000-000000000000}"/>
  <bookViews>
    <workbookView xWindow="-108" yWindow="-108" windowWidth="23256" windowHeight="12576" xr2:uid="{433F2AAA-6637-4AB3-BD9A-355D79C89427}"/>
  </bookViews>
  <sheets>
    <sheet name="P &amp; M" sheetId="1" r:id="rId1"/>
  </sheets>
  <definedNames>
    <definedName name="_xlnm._FilterDatabase" localSheetId="0" hidden="1">'P &amp; M'!$A$1:$P$688</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 i="1" l="1"/>
  <c r="F4" i="1" s="1"/>
  <c r="F5" i="1" s="1"/>
  <c r="F6" i="1" s="1"/>
  <c r="F7" i="1" s="1"/>
  <c r="F8" i="1" s="1"/>
  <c r="F9" i="1" s="1"/>
  <c r="F10" i="1" s="1"/>
  <c r="F11" i="1" s="1"/>
  <c r="F12" i="1" s="1"/>
  <c r="F13" i="1" s="1"/>
  <c r="H688" i="1"/>
  <c r="H687" i="1"/>
  <c r="H686" i="1"/>
  <c r="H685" i="1"/>
  <c r="H684" i="1"/>
  <c r="H683" i="1"/>
  <c r="H682" i="1"/>
  <c r="H681" i="1"/>
  <c r="H680" i="1"/>
  <c r="H679" i="1"/>
  <c r="H678" i="1"/>
  <c r="H677" i="1"/>
  <c r="H676" i="1"/>
  <c r="H675" i="1"/>
  <c r="H674" i="1"/>
  <c r="H673" i="1"/>
  <c r="H672" i="1"/>
  <c r="H671" i="1"/>
  <c r="H670" i="1"/>
  <c r="H669" i="1"/>
  <c r="H668" i="1"/>
  <c r="H667" i="1"/>
  <c r="H666" i="1"/>
  <c r="H665" i="1"/>
  <c r="H664" i="1"/>
  <c r="H663" i="1"/>
  <c r="H662" i="1"/>
  <c r="H661" i="1"/>
  <c r="H660" i="1"/>
  <c r="H659" i="1"/>
  <c r="H658" i="1"/>
  <c r="H657" i="1"/>
  <c r="H656" i="1"/>
  <c r="H655" i="1"/>
  <c r="H654" i="1"/>
  <c r="H653" i="1"/>
  <c r="H652" i="1"/>
  <c r="H651" i="1"/>
  <c r="H650" i="1"/>
  <c r="H649" i="1"/>
  <c r="H648" i="1"/>
  <c r="H647" i="1"/>
  <c r="H646" i="1"/>
  <c r="H645" i="1"/>
  <c r="H644" i="1"/>
  <c r="H643" i="1"/>
  <c r="H642" i="1"/>
  <c r="H641" i="1"/>
  <c r="H640" i="1"/>
  <c r="H639" i="1"/>
  <c r="H638" i="1"/>
  <c r="H637" i="1"/>
  <c r="H636" i="1"/>
  <c r="H635" i="1"/>
  <c r="H634" i="1"/>
  <c r="H633" i="1"/>
  <c r="H632" i="1"/>
  <c r="H631" i="1"/>
  <c r="H630" i="1"/>
  <c r="H629" i="1"/>
  <c r="H628" i="1"/>
  <c r="H627" i="1"/>
  <c r="H626" i="1"/>
  <c r="H625" i="1"/>
  <c r="H624" i="1"/>
  <c r="H623" i="1"/>
  <c r="H622" i="1"/>
  <c r="H621" i="1"/>
  <c r="H620" i="1"/>
  <c r="H619" i="1"/>
  <c r="H618" i="1"/>
  <c r="H617" i="1"/>
  <c r="H616" i="1"/>
  <c r="H615" i="1"/>
  <c r="H614" i="1"/>
  <c r="H613" i="1"/>
  <c r="H612" i="1"/>
  <c r="H611" i="1"/>
  <c r="H610" i="1"/>
  <c r="H609" i="1"/>
  <c r="H608" i="1"/>
  <c r="H607" i="1"/>
  <c r="H606" i="1"/>
  <c r="H605" i="1"/>
  <c r="H604" i="1"/>
  <c r="H603" i="1"/>
  <c r="H602" i="1"/>
  <c r="H601" i="1"/>
  <c r="H600" i="1"/>
  <c r="H599" i="1"/>
  <c r="H598" i="1"/>
  <c r="H597" i="1"/>
  <c r="H596" i="1"/>
  <c r="H595" i="1"/>
  <c r="H594" i="1"/>
  <c r="H593" i="1"/>
  <c r="H592" i="1"/>
  <c r="H591" i="1"/>
  <c r="H590" i="1"/>
  <c r="H589" i="1"/>
  <c r="H588" i="1"/>
  <c r="H587" i="1"/>
  <c r="H586" i="1"/>
  <c r="H585" i="1"/>
  <c r="H584" i="1"/>
  <c r="H583" i="1"/>
  <c r="H582" i="1"/>
  <c r="H581" i="1"/>
  <c r="H580" i="1"/>
  <c r="H579" i="1"/>
  <c r="H578" i="1"/>
  <c r="H577" i="1"/>
  <c r="H576" i="1"/>
  <c r="H575" i="1"/>
  <c r="H574" i="1"/>
  <c r="H573" i="1"/>
  <c r="H572" i="1"/>
  <c r="H571" i="1"/>
  <c r="H570" i="1"/>
  <c r="H569" i="1"/>
  <c r="H568" i="1"/>
  <c r="H567" i="1"/>
  <c r="H566" i="1"/>
  <c r="H565" i="1"/>
  <c r="H564" i="1"/>
  <c r="H563" i="1"/>
  <c r="H562" i="1"/>
  <c r="H561" i="1"/>
  <c r="H560" i="1"/>
  <c r="H559" i="1"/>
  <c r="H558" i="1"/>
  <c r="H557" i="1"/>
  <c r="H556" i="1"/>
  <c r="H555" i="1"/>
  <c r="H554" i="1"/>
  <c r="H553" i="1"/>
  <c r="H552" i="1"/>
  <c r="H551" i="1"/>
  <c r="H550" i="1"/>
  <c r="H549" i="1"/>
  <c r="H548" i="1"/>
  <c r="H547" i="1"/>
  <c r="H546" i="1"/>
  <c r="H545" i="1"/>
  <c r="H544" i="1"/>
  <c r="H543" i="1"/>
  <c r="H542" i="1"/>
  <c r="H541" i="1"/>
  <c r="H540" i="1"/>
  <c r="H539" i="1"/>
  <c r="H538" i="1"/>
  <c r="H537" i="1"/>
  <c r="H536" i="1"/>
  <c r="H535" i="1"/>
  <c r="H534" i="1"/>
  <c r="H533" i="1"/>
  <c r="H532" i="1"/>
  <c r="H531" i="1"/>
  <c r="H530" i="1"/>
  <c r="H529" i="1"/>
  <c r="H528" i="1"/>
  <c r="H527" i="1"/>
  <c r="H526" i="1"/>
  <c r="H525" i="1"/>
  <c r="H524" i="1"/>
  <c r="H523" i="1"/>
  <c r="H522" i="1"/>
  <c r="H521" i="1"/>
  <c r="H520" i="1"/>
  <c r="H519" i="1"/>
  <c r="H518" i="1"/>
  <c r="H517" i="1"/>
  <c r="H516" i="1"/>
  <c r="H515" i="1"/>
  <c r="H514" i="1"/>
  <c r="H513" i="1"/>
  <c r="H512" i="1"/>
  <c r="H511" i="1"/>
  <c r="H510" i="1"/>
  <c r="H509" i="1"/>
  <c r="H508" i="1"/>
  <c r="H507" i="1"/>
  <c r="H506" i="1"/>
  <c r="H505" i="1"/>
  <c r="H504" i="1"/>
  <c r="H503" i="1"/>
  <c r="H502" i="1"/>
  <c r="H501" i="1"/>
  <c r="H500" i="1"/>
  <c r="H499" i="1"/>
  <c r="H498" i="1"/>
  <c r="H497" i="1"/>
  <c r="H496" i="1"/>
  <c r="H495" i="1"/>
  <c r="H494" i="1"/>
  <c r="H493" i="1"/>
  <c r="H492" i="1"/>
  <c r="H491" i="1"/>
  <c r="H490" i="1"/>
  <c r="H489" i="1"/>
  <c r="H488" i="1"/>
  <c r="H487" i="1"/>
  <c r="H486" i="1"/>
  <c r="H485" i="1"/>
  <c r="H484" i="1"/>
  <c r="H483" i="1"/>
  <c r="H482" i="1"/>
  <c r="H481" i="1"/>
  <c r="H480" i="1"/>
  <c r="H479" i="1"/>
  <c r="H478" i="1"/>
  <c r="H477" i="1"/>
  <c r="H476" i="1"/>
  <c r="H475" i="1"/>
  <c r="H474" i="1"/>
  <c r="H473" i="1"/>
  <c r="H472" i="1"/>
  <c r="H471" i="1"/>
  <c r="H470" i="1"/>
  <c r="H469" i="1"/>
  <c r="H468" i="1"/>
  <c r="H467" i="1"/>
  <c r="H466" i="1"/>
  <c r="H465" i="1"/>
  <c r="H464" i="1"/>
  <c r="H463" i="1"/>
  <c r="H462" i="1"/>
  <c r="H461" i="1"/>
  <c r="H460" i="1"/>
  <c r="H459" i="1"/>
  <c r="H458" i="1"/>
  <c r="H457" i="1"/>
  <c r="H456" i="1"/>
  <c r="H455" i="1"/>
  <c r="H454" i="1"/>
  <c r="H453" i="1"/>
  <c r="H452" i="1"/>
  <c r="H451" i="1"/>
  <c r="H450" i="1"/>
  <c r="H449" i="1"/>
  <c r="H448" i="1"/>
  <c r="H447" i="1"/>
  <c r="H446" i="1"/>
  <c r="H445" i="1"/>
  <c r="H444" i="1"/>
  <c r="H443" i="1"/>
  <c r="H442" i="1"/>
  <c r="H441" i="1"/>
  <c r="H440" i="1"/>
  <c r="H439" i="1"/>
  <c r="H438" i="1"/>
  <c r="H437" i="1"/>
  <c r="H436" i="1"/>
  <c r="H435" i="1"/>
  <c r="H434" i="1"/>
  <c r="H433" i="1"/>
  <c r="H432" i="1"/>
  <c r="H431" i="1"/>
  <c r="H430" i="1"/>
  <c r="H429" i="1"/>
  <c r="H428" i="1"/>
  <c r="H427" i="1"/>
  <c r="H426" i="1"/>
  <c r="H425" i="1"/>
  <c r="H424" i="1"/>
  <c r="H423" i="1"/>
  <c r="H422" i="1"/>
  <c r="H421" i="1"/>
  <c r="H420" i="1"/>
  <c r="H419" i="1"/>
  <c r="H418" i="1"/>
  <c r="H417" i="1"/>
  <c r="H416" i="1"/>
  <c r="H415" i="1"/>
  <c r="H414" i="1"/>
  <c r="H413" i="1"/>
  <c r="H412" i="1"/>
  <c r="H411" i="1"/>
  <c r="H410" i="1"/>
  <c r="H409" i="1"/>
  <c r="H408" i="1"/>
  <c r="H407" i="1"/>
  <c r="H406" i="1"/>
  <c r="H405" i="1"/>
  <c r="H404" i="1"/>
  <c r="H403" i="1"/>
  <c r="H402" i="1"/>
  <c r="H401" i="1"/>
  <c r="H400" i="1"/>
  <c r="H399" i="1"/>
  <c r="H398" i="1"/>
  <c r="H397" i="1"/>
  <c r="H396" i="1"/>
  <c r="H395" i="1"/>
  <c r="H394" i="1"/>
  <c r="H393" i="1"/>
  <c r="H392" i="1"/>
  <c r="H391" i="1"/>
  <c r="H390" i="1"/>
  <c r="H389" i="1"/>
  <c r="H388" i="1"/>
  <c r="H387" i="1"/>
  <c r="H386" i="1"/>
  <c r="H385" i="1"/>
  <c r="H384" i="1"/>
  <c r="H383" i="1"/>
  <c r="H382" i="1"/>
  <c r="H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A3" i="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H2" i="1"/>
  <c r="F14" i="1" l="1"/>
  <c r="A555" i="1"/>
  <c r="A556" i="1" s="1"/>
  <c r="A558" i="1" s="1"/>
  <c r="A560" i="1" s="1"/>
  <c r="A557" i="1"/>
  <c r="A559" i="1" s="1"/>
  <c r="A561" i="1" s="1"/>
  <c r="A562" i="1" s="1"/>
  <c r="A563" i="1" s="1"/>
  <c r="A564" i="1" s="1"/>
  <c r="A565" i="1" s="1"/>
  <c r="A566" i="1" s="1"/>
  <c r="A567" i="1" s="1"/>
  <c r="A568" i="1" s="1"/>
  <c r="A569" i="1" s="1"/>
  <c r="A570" i="1" s="1"/>
  <c r="A571" i="1" s="1"/>
  <c r="A572" i="1" s="1"/>
  <c r="F15" i="1" l="1"/>
  <c r="A573" i="1"/>
  <c r="A600" i="1"/>
  <c r="A637" i="1" s="1"/>
  <c r="A674" i="1" s="1"/>
  <c r="F16" i="1" l="1"/>
  <c r="A601" i="1"/>
  <c r="A638" i="1" s="1"/>
  <c r="A675" i="1" s="1"/>
  <c r="A574" i="1"/>
  <c r="F17" i="1" l="1"/>
  <c r="A602" i="1"/>
  <c r="A639" i="1" s="1"/>
  <c r="A676" i="1" s="1"/>
  <c r="A610" i="1"/>
  <c r="A647" i="1" s="1"/>
  <c r="A684" i="1" s="1"/>
  <c r="A575" i="1"/>
  <c r="F18" i="1" l="1"/>
  <c r="A611" i="1"/>
  <c r="A648" i="1" s="1"/>
  <c r="A685" i="1" s="1"/>
  <c r="A576" i="1"/>
  <c r="A603" i="1"/>
  <c r="A640" i="1" s="1"/>
  <c r="A677" i="1" s="1"/>
  <c r="F19" i="1" l="1"/>
  <c r="A612" i="1"/>
  <c r="A649" i="1" s="1"/>
  <c r="A686" i="1" s="1"/>
  <c r="A604" i="1"/>
  <c r="A641" i="1" s="1"/>
  <c r="A678" i="1" s="1"/>
  <c r="A577" i="1"/>
  <c r="F20" i="1" l="1"/>
  <c r="A620" i="1"/>
  <c r="A657" i="1" s="1"/>
  <c r="A613" i="1"/>
  <c r="A650" i="1" s="1"/>
  <c r="A687" i="1" s="1"/>
  <c r="A578" i="1"/>
  <c r="A605" i="1"/>
  <c r="A642" i="1" s="1"/>
  <c r="A679" i="1" s="1"/>
  <c r="F21" i="1" l="1"/>
  <c r="A614" i="1"/>
  <c r="A651" i="1" s="1"/>
  <c r="A688" i="1" s="1"/>
  <c r="A579" i="1"/>
  <c r="A606" i="1"/>
  <c r="A643" i="1" s="1"/>
  <c r="A680" i="1" s="1"/>
  <c r="F22" i="1" l="1"/>
  <c r="A607" i="1"/>
  <c r="A644" i="1" s="1"/>
  <c r="A681" i="1" s="1"/>
  <c r="A580" i="1"/>
  <c r="A621" i="1"/>
  <c r="A658" i="1" s="1"/>
  <c r="A615" i="1"/>
  <c r="A652" i="1" s="1"/>
  <c r="F23" i="1" l="1"/>
  <c r="A608" i="1"/>
  <c r="A645" i="1" s="1"/>
  <c r="A682" i="1" s="1"/>
  <c r="A581" i="1"/>
  <c r="A616" i="1"/>
  <c r="A653" i="1" s="1"/>
  <c r="F24" i="1" l="1"/>
  <c r="A617" i="1"/>
  <c r="A654" i="1" s="1"/>
  <c r="A582" i="1"/>
  <c r="A609" i="1"/>
  <c r="A646" i="1" s="1"/>
  <c r="A683" i="1" s="1"/>
  <c r="F25" i="1" l="1"/>
  <c r="A618" i="1"/>
  <c r="A655" i="1" s="1"/>
  <c r="A583" i="1"/>
  <c r="F26" i="1" l="1"/>
  <c r="A619" i="1"/>
  <c r="A656" i="1" s="1"/>
  <c r="A584" i="1"/>
  <c r="A585" i="1" s="1"/>
  <c r="F27" i="1" l="1"/>
  <c r="A586" i="1"/>
  <c r="A622" i="1"/>
  <c r="A659" i="1" s="1"/>
  <c r="F28" i="1" l="1"/>
  <c r="A623" i="1"/>
  <c r="A660" i="1" s="1"/>
  <c r="A587" i="1"/>
  <c r="F29" i="1" l="1"/>
  <c r="A624" i="1"/>
  <c r="A661" i="1" s="1"/>
  <c r="A588" i="1"/>
  <c r="F30" i="1" l="1"/>
  <c r="A625" i="1"/>
  <c r="A662" i="1" s="1"/>
  <c r="A589" i="1"/>
  <c r="F31" i="1" l="1"/>
  <c r="A590" i="1"/>
  <c r="A626" i="1"/>
  <c r="A663" i="1" s="1"/>
  <c r="F32" i="1" l="1"/>
  <c r="A627" i="1"/>
  <c r="A664" i="1" s="1"/>
  <c r="A591" i="1"/>
  <c r="F33" i="1" l="1"/>
  <c r="A592" i="1"/>
  <c r="A628" i="1"/>
  <c r="A665" i="1" s="1"/>
  <c r="F34" i="1" l="1"/>
  <c r="A629" i="1"/>
  <c r="A666" i="1" s="1"/>
  <c r="A593" i="1"/>
  <c r="F35" i="1" l="1"/>
  <c r="A630" i="1"/>
  <c r="A667" i="1" s="1"/>
  <c r="A594" i="1"/>
  <c r="F36" i="1" l="1"/>
  <c r="A595" i="1"/>
  <c r="A631" i="1"/>
  <c r="A668" i="1" s="1"/>
  <c r="F37" i="1" l="1"/>
  <c r="A632" i="1"/>
  <c r="A669" i="1" s="1"/>
  <c r="A596" i="1"/>
  <c r="F38" i="1" l="1"/>
  <c r="A633" i="1"/>
  <c r="A670" i="1" s="1"/>
  <c r="A597" i="1"/>
  <c r="F39" i="1" l="1"/>
  <c r="A598" i="1"/>
  <c r="A634" i="1"/>
  <c r="A671" i="1" s="1"/>
  <c r="F40" i="1" l="1"/>
  <c r="A635" i="1"/>
  <c r="A672" i="1" s="1"/>
  <c r="A599" i="1"/>
  <c r="A636" i="1" s="1"/>
  <c r="A673" i="1" s="1"/>
  <c r="F41" i="1" l="1"/>
  <c r="F42" i="1" l="1"/>
  <c r="F43" i="1" l="1"/>
  <c r="F44" i="1" l="1"/>
  <c r="F45" i="1" l="1"/>
  <c r="F46" i="1" l="1"/>
  <c r="F47" i="1" l="1"/>
  <c r="F48" i="1" l="1"/>
  <c r="F49" i="1" l="1"/>
  <c r="F50" i="1" l="1"/>
  <c r="F51" i="1" l="1"/>
  <c r="F52" i="1" l="1"/>
  <c r="F53" i="1" l="1"/>
  <c r="F54" i="1" l="1"/>
  <c r="F55" i="1" l="1"/>
  <c r="F56" i="1" l="1"/>
  <c r="F57" i="1" l="1"/>
  <c r="F58" i="1" l="1"/>
  <c r="F59" i="1" l="1"/>
  <c r="F60" i="1" l="1"/>
  <c r="F61" i="1" l="1"/>
  <c r="F62" i="1" l="1"/>
  <c r="F63" i="1" l="1"/>
  <c r="F64" i="1" l="1"/>
  <c r="F65" i="1" l="1"/>
  <c r="F66" i="1" l="1"/>
  <c r="F67" i="1" l="1"/>
  <c r="F68" i="1" l="1"/>
  <c r="F69" i="1" l="1"/>
  <c r="F70" i="1" l="1"/>
  <c r="F71" i="1" l="1"/>
  <c r="F72" i="1" l="1"/>
  <c r="F73" i="1" l="1"/>
  <c r="F74" i="1" l="1"/>
  <c r="F75" i="1" l="1"/>
  <c r="F76" i="1" l="1"/>
  <c r="F77" i="1" l="1"/>
  <c r="F78" i="1" l="1"/>
  <c r="F79" i="1" l="1"/>
  <c r="F80" i="1" l="1"/>
  <c r="F81" i="1" l="1"/>
  <c r="F82" i="1" l="1"/>
  <c r="F83" i="1" l="1"/>
  <c r="F84" i="1" l="1"/>
  <c r="F85" i="1" l="1"/>
  <c r="F86" i="1" l="1"/>
  <c r="F87" i="1" l="1"/>
  <c r="F88" i="1" l="1"/>
  <c r="F89" i="1" l="1"/>
  <c r="F90" i="1" l="1"/>
  <c r="F91" i="1" l="1"/>
  <c r="F92" i="1" l="1"/>
  <c r="F93" i="1" l="1"/>
  <c r="F94" i="1" l="1"/>
  <c r="F95" i="1" l="1"/>
  <c r="F96" i="1" l="1"/>
  <c r="F97" i="1" l="1"/>
  <c r="F98" i="1" l="1"/>
  <c r="F99" i="1" l="1"/>
  <c r="F100" i="1" l="1"/>
  <c r="F101" i="1" l="1"/>
  <c r="F102" i="1" l="1"/>
  <c r="F103" i="1" l="1"/>
  <c r="F104" i="1" l="1"/>
  <c r="F105" i="1" l="1"/>
  <c r="F106" i="1" l="1"/>
  <c r="F107" i="1" l="1"/>
  <c r="F108" i="1" l="1"/>
  <c r="F109" i="1" l="1"/>
  <c r="F110" i="1" l="1"/>
  <c r="F111" i="1" l="1"/>
  <c r="F112" i="1" l="1"/>
  <c r="F113" i="1" l="1"/>
  <c r="F114" i="1" l="1"/>
  <c r="F115" i="1" l="1"/>
  <c r="F116" i="1" l="1"/>
  <c r="F117" i="1" l="1"/>
  <c r="F118" i="1" l="1"/>
  <c r="F119" i="1" l="1"/>
  <c r="F120" i="1" l="1"/>
  <c r="F121" i="1" l="1"/>
  <c r="F122" i="1" l="1"/>
  <c r="F123" i="1" l="1"/>
  <c r="F124" i="1" l="1"/>
  <c r="F125" i="1" l="1"/>
  <c r="F126" i="1" l="1"/>
  <c r="F127" i="1" l="1"/>
  <c r="F128" i="1" l="1"/>
  <c r="F129" i="1" l="1"/>
  <c r="F130" i="1" l="1"/>
  <c r="F131" i="1" l="1"/>
  <c r="F132" i="1" l="1"/>
  <c r="F133" i="1" l="1"/>
  <c r="F134" i="1" l="1"/>
  <c r="F135" i="1" l="1"/>
  <c r="F136" i="1" l="1"/>
  <c r="F137" i="1" l="1"/>
  <c r="F138" i="1" l="1"/>
  <c r="F139" i="1" l="1"/>
  <c r="F140" i="1" l="1"/>
  <c r="F141" i="1" l="1"/>
  <c r="F142" i="1" l="1"/>
  <c r="F143" i="1" l="1"/>
  <c r="F144" i="1" l="1"/>
  <c r="F145" i="1" l="1"/>
  <c r="F146" i="1" l="1"/>
  <c r="F147" i="1" l="1"/>
  <c r="F148" i="1" l="1"/>
  <c r="F149" i="1" l="1"/>
  <c r="F150" i="1" l="1"/>
  <c r="F151" i="1" l="1"/>
  <c r="F152" i="1" l="1"/>
  <c r="F153" i="1" l="1"/>
  <c r="F154" i="1" l="1"/>
  <c r="F155" i="1" l="1"/>
  <c r="F156" i="1" l="1"/>
  <c r="F157" i="1" l="1"/>
  <c r="F158" i="1" l="1"/>
  <c r="F159" i="1" l="1"/>
  <c r="F160" i="1" l="1"/>
  <c r="F161" i="1" l="1"/>
  <c r="F162" i="1" l="1"/>
  <c r="F163" i="1" l="1"/>
  <c r="F164" i="1" l="1"/>
  <c r="F165" i="1" l="1"/>
  <c r="F166" i="1" l="1"/>
  <c r="F167" i="1" l="1"/>
  <c r="F168" i="1" l="1"/>
  <c r="F169" i="1" l="1"/>
  <c r="F170" i="1" l="1"/>
  <c r="F171" i="1" l="1"/>
  <c r="F172" i="1" l="1"/>
  <c r="F173" i="1" l="1"/>
  <c r="F174" i="1" l="1"/>
  <c r="F175" i="1" l="1"/>
  <c r="F176" i="1" l="1"/>
  <c r="F177" i="1" l="1"/>
  <c r="F178" i="1" l="1"/>
  <c r="F179" i="1" l="1"/>
  <c r="F180" i="1" l="1"/>
  <c r="F181" i="1" l="1"/>
  <c r="F182" i="1" l="1"/>
  <c r="F183" i="1" l="1"/>
  <c r="F184" i="1" l="1"/>
  <c r="F185" i="1" l="1"/>
  <c r="F186" i="1" l="1"/>
  <c r="F187" i="1" l="1"/>
  <c r="F188" i="1" l="1"/>
  <c r="F189" i="1" l="1"/>
  <c r="F190" i="1" l="1"/>
  <c r="F191" i="1" l="1"/>
  <c r="F192" i="1" l="1"/>
  <c r="F193" i="1" l="1"/>
  <c r="F194" i="1" l="1"/>
  <c r="F195" i="1" l="1"/>
  <c r="F196" i="1" l="1"/>
  <c r="F197" i="1" l="1"/>
  <c r="F198" i="1" l="1"/>
  <c r="F199" i="1" l="1"/>
  <c r="F200" i="1" l="1"/>
  <c r="F201" i="1" l="1"/>
  <c r="F202" i="1" l="1"/>
  <c r="F203" i="1" l="1"/>
  <c r="F204" i="1" l="1"/>
  <c r="F205" i="1" l="1"/>
  <c r="F206" i="1" l="1"/>
  <c r="F207" i="1" l="1"/>
  <c r="F208" i="1" l="1"/>
  <c r="F209" i="1" l="1"/>
  <c r="F210" i="1" l="1"/>
  <c r="F211" i="1" l="1"/>
  <c r="F212" i="1" l="1"/>
  <c r="F213" i="1" l="1"/>
  <c r="F214" i="1" l="1"/>
  <c r="F215" i="1" l="1"/>
  <c r="F216" i="1" l="1"/>
  <c r="F217" i="1" l="1"/>
  <c r="F218" i="1" l="1"/>
  <c r="F219" i="1" l="1"/>
  <c r="F220" i="1" l="1"/>
  <c r="F221" i="1" l="1"/>
  <c r="F222" i="1" l="1"/>
  <c r="F223" i="1" l="1"/>
  <c r="F224" i="1" l="1"/>
  <c r="F225" i="1" l="1"/>
  <c r="F226" i="1" l="1"/>
  <c r="F227" i="1" l="1"/>
  <c r="F228" i="1" l="1"/>
  <c r="F229" i="1" l="1"/>
  <c r="F230" i="1" l="1"/>
  <c r="F231" i="1" l="1"/>
  <c r="F232" i="1" l="1"/>
  <c r="F233" i="1" l="1"/>
  <c r="F234" i="1" l="1"/>
  <c r="F235" i="1" l="1"/>
  <c r="F236" i="1" l="1"/>
  <c r="F237" i="1" l="1"/>
  <c r="F238" i="1" l="1"/>
  <c r="F239" i="1" l="1"/>
  <c r="F240" i="1" l="1"/>
  <c r="F241" i="1" l="1"/>
  <c r="F242" i="1" l="1"/>
  <c r="F243" i="1" l="1"/>
  <c r="F244" i="1" l="1"/>
  <c r="F245" i="1" l="1"/>
  <c r="F246" i="1" l="1"/>
  <c r="F247" i="1" l="1"/>
  <c r="F248" i="1" l="1"/>
  <c r="F249" i="1" l="1"/>
  <c r="F250" i="1" l="1"/>
  <c r="F251" i="1" l="1"/>
  <c r="F252" i="1" l="1"/>
  <c r="F253" i="1" l="1"/>
  <c r="F254" i="1" l="1"/>
  <c r="F255" i="1" l="1"/>
  <c r="F256" i="1" l="1"/>
  <c r="F257" i="1" l="1"/>
  <c r="F258" i="1" l="1"/>
  <c r="F259" i="1" l="1"/>
  <c r="F260" i="1" l="1"/>
  <c r="F261" i="1" l="1"/>
  <c r="F262" i="1" l="1"/>
  <c r="F263" i="1" l="1"/>
  <c r="F264" i="1" l="1"/>
  <c r="F265" i="1" l="1"/>
  <c r="F266" i="1" l="1"/>
  <c r="F267" i="1" l="1"/>
  <c r="F268" i="1" l="1"/>
  <c r="F269" i="1" l="1"/>
  <c r="F270" i="1" l="1"/>
  <c r="F271" i="1" l="1"/>
  <c r="F272" i="1" l="1"/>
  <c r="F273" i="1" l="1"/>
  <c r="F274" i="1" l="1"/>
  <c r="F275" i="1" l="1"/>
  <c r="F276" i="1" l="1"/>
  <c r="F277" i="1" l="1"/>
  <c r="F278" i="1" l="1"/>
  <c r="F279" i="1" l="1"/>
  <c r="F280" i="1" l="1"/>
  <c r="F281" i="1" l="1"/>
  <c r="F282" i="1" l="1"/>
  <c r="F283" i="1" l="1"/>
  <c r="F284" i="1" l="1"/>
  <c r="F285" i="1" l="1"/>
  <c r="F286" i="1" l="1"/>
  <c r="F287" i="1" l="1"/>
  <c r="F288" i="1" l="1"/>
  <c r="F289" i="1" l="1"/>
  <c r="F290" i="1" l="1"/>
  <c r="F291" i="1" l="1"/>
  <c r="F292" i="1" l="1"/>
  <c r="F293" i="1" l="1"/>
  <c r="F294" i="1" l="1"/>
  <c r="F295" i="1" l="1"/>
  <c r="F296" i="1" l="1"/>
  <c r="F297" i="1" l="1"/>
  <c r="F298" i="1" l="1"/>
  <c r="F299" i="1" l="1"/>
  <c r="F300" i="1" l="1"/>
  <c r="F301" i="1" l="1"/>
  <c r="F302" i="1" l="1"/>
  <c r="F303" i="1" l="1"/>
  <c r="F304" i="1" l="1"/>
  <c r="F305" i="1" l="1"/>
  <c r="F306" i="1" l="1"/>
  <c r="F307" i="1" l="1"/>
  <c r="F308" i="1" l="1"/>
  <c r="F309" i="1" l="1"/>
  <c r="F310" i="1" l="1"/>
  <c r="F311" i="1" l="1"/>
  <c r="F312" i="1" l="1"/>
  <c r="F313" i="1" l="1"/>
  <c r="F314" i="1" l="1"/>
  <c r="F315" i="1" l="1"/>
  <c r="F316" i="1" l="1"/>
  <c r="F317" i="1" l="1"/>
  <c r="F318" i="1" l="1"/>
  <c r="F319" i="1" l="1"/>
  <c r="F320" i="1" l="1"/>
  <c r="F321" i="1" l="1"/>
  <c r="F322" i="1" l="1"/>
  <c r="F323" i="1" l="1"/>
  <c r="F324" i="1" l="1"/>
  <c r="F325" i="1" l="1"/>
  <c r="F326" i="1" l="1"/>
  <c r="F327" i="1" l="1"/>
  <c r="F328" i="1" l="1"/>
  <c r="F329" i="1" l="1"/>
  <c r="F330" i="1" l="1"/>
  <c r="F331" i="1" l="1"/>
  <c r="F332" i="1" l="1"/>
  <c r="F333" i="1" l="1"/>
  <c r="F334" i="1" l="1"/>
  <c r="F335" i="1" l="1"/>
  <c r="F336" i="1" l="1"/>
  <c r="F337" i="1" l="1"/>
  <c r="F338" i="1" l="1"/>
  <c r="F339" i="1" l="1"/>
  <c r="F340" i="1" l="1"/>
  <c r="F341" i="1" l="1"/>
  <c r="F342" i="1" l="1"/>
  <c r="F343" i="1" l="1"/>
  <c r="F344" i="1" l="1"/>
  <c r="F345" i="1" l="1"/>
  <c r="F346" i="1" l="1"/>
  <c r="F347" i="1" l="1"/>
  <c r="F348" i="1" l="1"/>
  <c r="F349" i="1" l="1"/>
  <c r="F350" i="1" l="1"/>
  <c r="F351" i="1" l="1"/>
  <c r="F352" i="1" l="1"/>
  <c r="F353" i="1" l="1"/>
  <c r="F354" i="1" l="1"/>
  <c r="F355" i="1" l="1"/>
  <c r="F356" i="1" l="1"/>
  <c r="F357" i="1" l="1"/>
  <c r="F358" i="1" l="1"/>
  <c r="F359" i="1" l="1"/>
  <c r="F360" i="1" l="1"/>
  <c r="F361" i="1" l="1"/>
  <c r="F362" i="1" l="1"/>
  <c r="F363" i="1" l="1"/>
  <c r="F364" i="1" l="1"/>
  <c r="F365" i="1" l="1"/>
  <c r="F366" i="1" l="1"/>
  <c r="F367" i="1" l="1"/>
  <c r="F368" i="1" l="1"/>
  <c r="F369" i="1" l="1"/>
  <c r="F370" i="1" l="1"/>
  <c r="F371" i="1" l="1"/>
  <c r="F372" i="1" l="1"/>
  <c r="F373" i="1" l="1"/>
  <c r="F374" i="1" l="1"/>
  <c r="F375" i="1" l="1"/>
  <c r="F376" i="1" l="1"/>
  <c r="F377" i="1" l="1"/>
  <c r="F378" i="1" l="1"/>
  <c r="F379" i="1" l="1"/>
  <c r="F380" i="1" l="1"/>
  <c r="F381" i="1" l="1"/>
  <c r="F382" i="1" l="1"/>
  <c r="F383" i="1" l="1"/>
  <c r="F384" i="1" l="1"/>
  <c r="F385" i="1" l="1"/>
  <c r="F386" i="1" l="1"/>
  <c r="F387" i="1" l="1"/>
  <c r="F388" i="1" l="1"/>
  <c r="F389" i="1" l="1"/>
  <c r="F390" i="1" l="1"/>
  <c r="F391" i="1" l="1"/>
  <c r="F392" i="1" l="1"/>
  <c r="F393" i="1" l="1"/>
  <c r="F394" i="1" l="1"/>
  <c r="F395" i="1" l="1"/>
  <c r="F396" i="1" l="1"/>
  <c r="F397" i="1" l="1"/>
  <c r="F398" i="1" l="1"/>
  <c r="F399" i="1" l="1"/>
  <c r="F400" i="1" l="1"/>
  <c r="F401" i="1" l="1"/>
  <c r="F402" i="1" l="1"/>
  <c r="F403" i="1" l="1"/>
  <c r="F404" i="1" l="1"/>
  <c r="F405" i="1" l="1"/>
  <c r="F406" i="1" l="1"/>
  <c r="F407" i="1" l="1"/>
  <c r="F408" i="1" l="1"/>
  <c r="F409" i="1" l="1"/>
  <c r="F410" i="1" l="1"/>
  <c r="F411" i="1" l="1"/>
  <c r="F412" i="1" l="1"/>
  <c r="F413" i="1" l="1"/>
  <c r="F414" i="1" l="1"/>
  <c r="F415" i="1" l="1"/>
  <c r="F416" i="1" l="1"/>
  <c r="F417" i="1" l="1"/>
  <c r="F418" i="1" l="1"/>
  <c r="F419" i="1" l="1"/>
  <c r="F420" i="1" l="1"/>
  <c r="F421" i="1" l="1"/>
  <c r="F422" i="1" l="1"/>
  <c r="F423" i="1" l="1"/>
  <c r="F424" i="1" l="1"/>
  <c r="F425" i="1" l="1"/>
  <c r="F426" i="1" l="1"/>
  <c r="F427" i="1" l="1"/>
  <c r="F428" i="1" l="1"/>
  <c r="F429" i="1" l="1"/>
  <c r="F430" i="1" l="1"/>
  <c r="F431" i="1" l="1"/>
  <c r="F432" i="1" l="1"/>
  <c r="F433" i="1" l="1"/>
  <c r="F434" i="1" l="1"/>
  <c r="F435" i="1" l="1"/>
  <c r="F436" i="1" l="1"/>
  <c r="F437" i="1" l="1"/>
  <c r="F438" i="1" l="1"/>
  <c r="F439" i="1" l="1"/>
  <c r="F440" i="1" l="1"/>
  <c r="F441" i="1" l="1"/>
  <c r="F442" i="1" l="1"/>
  <c r="F443" i="1" l="1"/>
  <c r="F444" i="1" l="1"/>
  <c r="F445" i="1" l="1"/>
  <c r="F446" i="1" l="1"/>
  <c r="F447" i="1" l="1"/>
  <c r="F448" i="1" l="1"/>
  <c r="F449" i="1" l="1"/>
  <c r="F450" i="1" l="1"/>
  <c r="F451" i="1" l="1"/>
  <c r="F452" i="1" l="1"/>
  <c r="F453" i="1" l="1"/>
  <c r="F454" i="1" l="1"/>
  <c r="F455" i="1" l="1"/>
  <c r="F456" i="1" l="1"/>
  <c r="F457" i="1" l="1"/>
  <c r="F458" i="1" l="1"/>
  <c r="F459" i="1" l="1"/>
  <c r="F460" i="1" l="1"/>
  <c r="F461" i="1" l="1"/>
  <c r="F462" i="1" l="1"/>
  <c r="F463" i="1" l="1"/>
  <c r="F464" i="1" l="1"/>
  <c r="F465" i="1" l="1"/>
  <c r="F466" i="1" l="1"/>
  <c r="F467" i="1" l="1"/>
  <c r="F468" i="1" l="1"/>
  <c r="F469" i="1" l="1"/>
  <c r="F470" i="1" l="1"/>
  <c r="F471" i="1" l="1"/>
  <c r="F472" i="1" l="1"/>
  <c r="F473" i="1" l="1"/>
  <c r="F474" i="1" l="1"/>
  <c r="F475" i="1" l="1"/>
  <c r="F476" i="1" l="1"/>
  <c r="F477" i="1" l="1"/>
  <c r="F478" i="1" l="1"/>
  <c r="F479" i="1" l="1"/>
  <c r="F480" i="1" l="1"/>
  <c r="F481" i="1" l="1"/>
  <c r="F482" i="1" l="1"/>
  <c r="F483" i="1" l="1"/>
  <c r="F484" i="1" l="1"/>
  <c r="F485" i="1" l="1"/>
  <c r="F486" i="1" l="1"/>
  <c r="F487" i="1" l="1"/>
  <c r="F488" i="1" l="1"/>
  <c r="F489" i="1" l="1"/>
  <c r="F490" i="1" l="1"/>
  <c r="F491" i="1" l="1"/>
  <c r="F492" i="1" l="1"/>
  <c r="F493" i="1" l="1"/>
  <c r="F494" i="1" l="1"/>
  <c r="F495" i="1" l="1"/>
  <c r="F496" i="1" l="1"/>
  <c r="F497" i="1" l="1"/>
  <c r="F498" i="1" l="1"/>
  <c r="F499" i="1" l="1"/>
  <c r="F500" i="1" l="1"/>
  <c r="F501" i="1" l="1"/>
  <c r="F502" i="1" l="1"/>
  <c r="F503" i="1" l="1"/>
  <c r="F504" i="1" l="1"/>
  <c r="F505" i="1" l="1"/>
  <c r="F506" i="1" l="1"/>
  <c r="F507" i="1" l="1"/>
  <c r="F508" i="1" l="1"/>
  <c r="F509" i="1" l="1"/>
  <c r="F510" i="1" l="1"/>
  <c r="F511" i="1" l="1"/>
  <c r="F512" i="1" l="1"/>
  <c r="F513" i="1" l="1"/>
  <c r="F514" i="1" l="1"/>
  <c r="F515" i="1" l="1"/>
  <c r="F516" i="1" l="1"/>
  <c r="F517" i="1" l="1"/>
  <c r="F518" i="1" l="1"/>
  <c r="F519" i="1" l="1"/>
  <c r="F520" i="1" l="1"/>
  <c r="F521" i="1" l="1"/>
  <c r="F522" i="1" l="1"/>
  <c r="F523" i="1" l="1"/>
  <c r="F524" i="1" l="1"/>
  <c r="F525" i="1" l="1"/>
  <c r="F526" i="1" l="1"/>
  <c r="F527" i="1" l="1"/>
  <c r="F528" i="1" l="1"/>
  <c r="F529" i="1" l="1"/>
  <c r="F530" i="1" l="1"/>
  <c r="F531" i="1" l="1"/>
  <c r="F532" i="1" l="1"/>
  <c r="F533" i="1" l="1"/>
  <c r="F534" i="1" l="1"/>
  <c r="F535" i="1" l="1"/>
  <c r="F536" i="1" l="1"/>
  <c r="F537" i="1" l="1"/>
  <c r="F538" i="1" l="1"/>
  <c r="F539" i="1" l="1"/>
  <c r="F540" i="1" l="1"/>
  <c r="F541" i="1" l="1"/>
  <c r="F542" i="1" l="1"/>
  <c r="F543" i="1" l="1"/>
  <c r="F544" i="1" l="1"/>
  <c r="F545" i="1" l="1"/>
  <c r="F546" i="1" l="1"/>
  <c r="F547" i="1" l="1"/>
  <c r="F548" i="1" l="1"/>
  <c r="F549" i="1" l="1"/>
  <c r="F550" i="1" l="1"/>
  <c r="F551" i="1" l="1"/>
  <c r="F552" i="1" l="1"/>
  <c r="F553" i="1" l="1"/>
  <c r="F554" i="1" l="1"/>
  <c r="F555" i="1" l="1"/>
  <c r="F556" i="1" l="1"/>
  <c r="F557" i="1" l="1"/>
  <c r="F558" i="1" l="1"/>
  <c r="F559" i="1" l="1"/>
  <c r="F560" i="1" l="1"/>
  <c r="F561" i="1" l="1"/>
  <c r="F562" i="1" l="1"/>
  <c r="F563" i="1" l="1"/>
  <c r="F564" i="1" l="1"/>
  <c r="F565" i="1" l="1"/>
  <c r="F566" i="1" l="1"/>
  <c r="F567" i="1" l="1"/>
  <c r="F568" i="1" l="1"/>
  <c r="F569" i="1" l="1"/>
  <c r="F570" i="1" l="1"/>
  <c r="F571" i="1" l="1"/>
  <c r="F572" i="1" l="1"/>
  <c r="F573" i="1" l="1"/>
  <c r="F574" i="1" l="1"/>
  <c r="F575" i="1" l="1"/>
  <c r="F576" i="1" l="1"/>
  <c r="F577" i="1" l="1"/>
  <c r="F578" i="1" l="1"/>
  <c r="F579" i="1" l="1"/>
  <c r="F580" i="1" l="1"/>
  <c r="F581" i="1" l="1"/>
  <c r="F582" i="1" l="1"/>
  <c r="F583" i="1" l="1"/>
  <c r="F584" i="1" l="1"/>
  <c r="F585" i="1" l="1"/>
  <c r="F586" i="1" l="1"/>
  <c r="F587" i="1" l="1"/>
  <c r="F588" i="1" l="1"/>
  <c r="F589" i="1" l="1"/>
  <c r="F590" i="1" l="1"/>
  <c r="F591" i="1" l="1"/>
  <c r="F592" i="1" l="1"/>
  <c r="F593" i="1" s="1"/>
  <c r="F594" i="1" s="1"/>
  <c r="F595" i="1" s="1"/>
  <c r="F596" i="1" s="1"/>
  <c r="F597" i="1" s="1"/>
  <c r="F598" i="1" s="1"/>
  <c r="F599" i="1" s="1"/>
  <c r="F600" i="1" s="1"/>
  <c r="F601" i="1" s="1"/>
  <c r="F602" i="1" s="1"/>
  <c r="F603" i="1" s="1"/>
  <c r="F604" i="1" s="1"/>
  <c r="F605" i="1" s="1"/>
  <c r="F606" i="1" s="1"/>
  <c r="F607" i="1" s="1"/>
  <c r="F608" i="1" s="1"/>
  <c r="F609" i="1" s="1"/>
  <c r="F610" i="1" s="1"/>
  <c r="F611" i="1" s="1"/>
  <c r="F612" i="1" s="1"/>
  <c r="F613" i="1" s="1"/>
  <c r="F614" i="1" s="1"/>
  <c r="F615" i="1" s="1"/>
  <c r="F616" i="1" s="1"/>
  <c r="F617" i="1" s="1"/>
  <c r="F618" i="1" s="1"/>
  <c r="F619" i="1" s="1"/>
  <c r="F620" i="1" s="1"/>
  <c r="F621" i="1" s="1"/>
  <c r="F622" i="1" s="1"/>
  <c r="F623" i="1" s="1"/>
  <c r="F624" i="1" s="1"/>
  <c r="F625" i="1" s="1"/>
  <c r="F626" i="1" s="1"/>
  <c r="F627" i="1" s="1"/>
  <c r="F628" i="1" s="1"/>
  <c r="F629" i="1" s="1"/>
  <c r="F630" i="1" s="1"/>
  <c r="F631" i="1" s="1"/>
  <c r="F632" i="1" s="1"/>
  <c r="F633" i="1" s="1"/>
  <c r="F634" i="1" s="1"/>
  <c r="F635" i="1" s="1"/>
  <c r="F636" i="1" s="1"/>
  <c r="F637" i="1" s="1"/>
  <c r="F638" i="1" s="1"/>
  <c r="F639" i="1" s="1"/>
  <c r="F640" i="1" s="1"/>
  <c r="F641" i="1" s="1"/>
  <c r="F642" i="1" s="1"/>
  <c r="F643" i="1" s="1"/>
  <c r="F644" i="1" s="1"/>
  <c r="F645" i="1" s="1"/>
  <c r="F646" i="1" s="1"/>
  <c r="F647" i="1" s="1"/>
  <c r="F648" i="1" s="1"/>
  <c r="F649" i="1" s="1"/>
  <c r="F650" i="1" s="1"/>
  <c r="F651" i="1" s="1"/>
  <c r="F652" i="1" s="1"/>
  <c r="F653" i="1" s="1"/>
  <c r="F654" i="1" s="1"/>
  <c r="F655" i="1" s="1"/>
  <c r="F656" i="1" s="1"/>
  <c r="F657" i="1" s="1"/>
  <c r="F658" i="1" s="1"/>
  <c r="F659" i="1" s="1"/>
  <c r="F660" i="1" s="1"/>
  <c r="F661" i="1" s="1"/>
  <c r="F662" i="1" s="1"/>
  <c r="F663" i="1" s="1"/>
  <c r="F664" i="1" s="1"/>
  <c r="F665" i="1" s="1"/>
  <c r="F666" i="1" s="1"/>
  <c r="F667" i="1" s="1"/>
  <c r="F668" i="1" s="1"/>
  <c r="F669" i="1" s="1"/>
  <c r="F670" i="1" s="1"/>
  <c r="F671" i="1" s="1"/>
  <c r="F672" i="1" s="1"/>
  <c r="F673" i="1" s="1"/>
  <c r="F674" i="1" s="1"/>
  <c r="F675" i="1" s="1"/>
  <c r="F676" i="1" s="1"/>
  <c r="F677" i="1" s="1"/>
  <c r="F678" i="1" s="1"/>
  <c r="F679" i="1" s="1"/>
  <c r="F680" i="1" s="1"/>
  <c r="F681" i="1" s="1"/>
  <c r="F682" i="1" s="1"/>
  <c r="F683" i="1" s="1"/>
  <c r="F684" i="1" s="1"/>
  <c r="F685" i="1" s="1"/>
  <c r="F686" i="1" s="1"/>
  <c r="F687" i="1" s="1"/>
  <c r="F688" i="1" s="1"/>
</calcChain>
</file>

<file path=xl/sharedStrings.xml><?xml version="1.0" encoding="utf-8"?>
<sst xmlns="http://schemas.openxmlformats.org/spreadsheetml/2006/main" count="2073" uniqueCount="741">
  <si>
    <t>Sr No</t>
  </si>
  <si>
    <t>Brief Description of Assets</t>
  </si>
  <si>
    <t>Year</t>
  </si>
  <si>
    <t>Head</t>
  </si>
  <si>
    <t>Date of Purchase</t>
  </si>
  <si>
    <t>Date of Capitalization</t>
  </si>
  <si>
    <t>Total Cost</t>
  </si>
  <si>
    <t>Life used upto 31st March,2024</t>
  </si>
  <si>
    <t>Remaining useful life</t>
  </si>
  <si>
    <t>Dep for the year 2024-25</t>
  </si>
  <si>
    <t>bill no-10873 lloyd led 32" model</t>
  </si>
  <si>
    <t>2015-16</t>
  </si>
  <si>
    <t>Misc. fixed assets</t>
  </si>
  <si>
    <t xml:space="preserve">bill no 3136, manman drill, </t>
  </si>
  <si>
    <t>Plant &amp; Machiery</t>
  </si>
  <si>
    <t xml:space="preserve">bill no 003, telephone set beetel model c-51, qty 80, </t>
  </si>
  <si>
    <t>Telephone &amp; Mobile A/C</t>
  </si>
  <si>
    <t>Kitchen Equipment</t>
  </si>
  <si>
    <t>purchased extension board, multi plug, indicator, sheet, switch, plug</t>
  </si>
  <si>
    <t>Electric Installation</t>
  </si>
  <si>
    <t>bill no 001, 1 OT Table and 2 OT Lights</t>
  </si>
  <si>
    <t>Hospital Equipment</t>
  </si>
  <si>
    <t>Bill no 00170, 1 attendence machine purchased</t>
  </si>
  <si>
    <t>Attendence Mahchine</t>
  </si>
  <si>
    <t>bill no 154, 2 KVA battery</t>
  </si>
  <si>
    <t>bill no 1710, purchased flood light</t>
  </si>
  <si>
    <t>Bill no 2047, Photostate machine</t>
  </si>
  <si>
    <t>Photostate Machine</t>
  </si>
  <si>
    <t>bill no 39122, items of earthing material</t>
  </si>
  <si>
    <t>Bill no 4, 2 elec safe and 1 note counting machine</t>
  </si>
  <si>
    <t>Electric Safe</t>
  </si>
  <si>
    <t>Bill no 47</t>
  </si>
  <si>
    <t>STP Plant</t>
  </si>
  <si>
    <t>bill no 62237, cable armoured digitel meter etc</t>
  </si>
  <si>
    <t>bill no 62270, 2 MCB with box</t>
  </si>
  <si>
    <t>bill no 62395, PVC tape rolls and Lamps</t>
  </si>
  <si>
    <t>bill no 624, bill date 21.4.15</t>
  </si>
  <si>
    <t>Refrigrator</t>
  </si>
  <si>
    <t>bill no 7, 20kva ups purhcased</t>
  </si>
  <si>
    <t>bill no 8, 64 ups batteries</t>
  </si>
  <si>
    <t xml:space="preserve">Bill no p 213/1088/14-15, 1 Eto sterlizer </t>
  </si>
  <si>
    <t>Bill no R-7, water filter (Aqua guard)</t>
  </si>
  <si>
    <t>Water Purifier and Dipensers</t>
  </si>
  <si>
    <t xml:space="preserve">Bill no T620 Ac 2 ton, </t>
  </si>
  <si>
    <t>A.C/Fan and Allied</t>
  </si>
  <si>
    <t xml:space="preserve">Bill no VA-012 back bone frame </t>
  </si>
  <si>
    <t xml:space="preserve">bill  no 1110, 20 bed side panle, 20 caster </t>
  </si>
  <si>
    <t>Bill no 108, cardiac table, patient beds and allied equipments for OT</t>
  </si>
  <si>
    <t>bill no 1104, suction machine and other items</t>
  </si>
  <si>
    <t>bill no 1114, 1 sterlizer, 20 bed side locker, 3 intstru trolley</t>
  </si>
  <si>
    <t>bill no 1117, 2 suction machine</t>
  </si>
  <si>
    <t>Bill no 1118, 30 bed side lockers</t>
  </si>
  <si>
    <t>bill no 114, gynee table, crash cart etc</t>
  </si>
  <si>
    <t>bill no 74, samsung galaxy star pro gt 7262</t>
  </si>
  <si>
    <t>bill no 74, samsung mob purchased</t>
  </si>
  <si>
    <t>bill no 3146, 1 tourniguate machine</t>
  </si>
  <si>
    <t xml:space="preserve">bill no 0023, 2 bipap machinery </t>
  </si>
  <si>
    <t>bill no 1112, OT Lights</t>
  </si>
  <si>
    <t>bill no 1120, 15 ste hosp. bed side railings</t>
  </si>
  <si>
    <t>bill no 1121, 1 OT Light mobile</t>
  </si>
  <si>
    <t xml:space="preserve">Bill no 192, Stablizer qty 4, </t>
  </si>
  <si>
    <t>Air conditioner</t>
  </si>
  <si>
    <t>bill no 242, PVC wires and gang box, MCb etc</t>
  </si>
  <si>
    <t>Bill no 299, Qty 4 AC</t>
  </si>
  <si>
    <t>bill no 62531, 30 pcs PVC tape roll, MCCB etc</t>
  </si>
  <si>
    <t>bill no R25026, 3 water dispensers and stablizers</t>
  </si>
  <si>
    <t>bill no 110, 1 OT table</t>
  </si>
  <si>
    <t>Voucher no-20141550147, 1 plastic tube</t>
  </si>
  <si>
    <t>2 MCB purchased 32 amp 3 pole</t>
  </si>
  <si>
    <t>bill no - 7660, lable and label guns</t>
  </si>
  <si>
    <t>bill no 265, electric wires purchased</t>
  </si>
  <si>
    <t>Bill no 6, 12 cromton wall fans</t>
  </si>
  <si>
    <t>Bill no 710, 4 fly killer machine</t>
  </si>
  <si>
    <t>Fly Killer machine</t>
  </si>
  <si>
    <t>voucher no- 20141550161,190 ltr fridge</t>
  </si>
  <si>
    <t>Bill no 1732, 2 exhaust fan 24"</t>
  </si>
  <si>
    <t xml:space="preserve">Bill no 341, 14 oprient wall fan </t>
  </si>
  <si>
    <t>inv. No. 53, gas cabinet for 12 cylinder</t>
  </si>
  <si>
    <t>bill no 11196, samsung mobile purchased</t>
  </si>
  <si>
    <t>bill no 11197, samsung mobile purchased</t>
  </si>
  <si>
    <t>Samsung mobile phone purchased</t>
  </si>
  <si>
    <t>bill no 681, air compressor 3 HP purchased</t>
  </si>
  <si>
    <t>Bill no 010, 400KVA silent generator purchased</t>
  </si>
  <si>
    <t>Bill no 015, 400KVA silent generator purchased</t>
  </si>
  <si>
    <t>1 dead plug bought</t>
  </si>
  <si>
    <t>bill no 142, jahagir cautry 1</t>
  </si>
  <si>
    <t>bill no 150, Purchased 1 PFT machine</t>
  </si>
  <si>
    <t>bill no 21, 2 stablizers</t>
  </si>
  <si>
    <t xml:space="preserve">bill no 3217, 1 manman drill unit, </t>
  </si>
  <si>
    <t>bill no 382, 20 CFL tubes, 13plugs</t>
  </si>
  <si>
    <t>bill no 452, electrical items pvc pipes, tester pins, drill gutties, saddle etc</t>
  </si>
  <si>
    <t>Bill no TFS139, 2 ac lloyd 1.5</t>
  </si>
  <si>
    <t>bill no 0106/15-16, purcahsed 1 sternal saw</t>
  </si>
  <si>
    <t xml:space="preserve">bill no 10991, 1 samsung mobile </t>
  </si>
  <si>
    <t xml:space="preserve">bill no 363, coil wires, phone wires and main lead </t>
  </si>
  <si>
    <t>bill no 401, 1 mcb box and push terminals</t>
  </si>
  <si>
    <t>bill no 496, 1 insturment trolley</t>
  </si>
  <si>
    <t>Hi path atex, telephone exch, it assets</t>
  </si>
  <si>
    <t>bill no 468, 1 lloyd LED tv</t>
  </si>
  <si>
    <t>LED and Allied Products</t>
  </si>
  <si>
    <t>bill no 6, 1 RF cage for philios MRI</t>
  </si>
  <si>
    <t>bill no 7, 1 UPS &amp; chillee philios MRI</t>
  </si>
  <si>
    <t>bill no 99, D link 16 port swtich, 24 port switch, solid cube cable utp</t>
  </si>
  <si>
    <t>bill no 1760, 1 motor starter</t>
  </si>
  <si>
    <t>bill no 64393, 1mcb box</t>
  </si>
  <si>
    <t>bill no 231, dated 10.06.15, crockey items for hospital &amp; Kitchen</t>
  </si>
  <si>
    <t>bill no 561, 5 exhaust fan and misc electrical items</t>
  </si>
  <si>
    <t>bill no 561, misc electrical items</t>
  </si>
  <si>
    <t>bill no 626, various elec, items, pvc, wire, mcb, switches etc</t>
  </si>
  <si>
    <t>bill no 703, 2 instrument trolley</t>
  </si>
  <si>
    <t xml:space="preserve">purchased of 1 X-ray view box </t>
  </si>
  <si>
    <t xml:space="preserve">bill no 513, 1 split ac, </t>
  </si>
  <si>
    <t>bill no 513, 2 LED tv</t>
  </si>
  <si>
    <t xml:space="preserve">Bill no 094, cylinder and pressure gauge </t>
  </si>
  <si>
    <t>Fire Fighting Equipment</t>
  </si>
  <si>
    <t>bill no 372, 2 mpcb</t>
  </si>
  <si>
    <t>bill no 584/15-16, baby weight machine</t>
  </si>
  <si>
    <t xml:space="preserve">bill no 64787, cable, pvc etc. </t>
  </si>
  <si>
    <t xml:space="preserve">bill no 11250, 1 samsung mobile </t>
  </si>
  <si>
    <t xml:space="preserve">bill no 11258, 1 samsung mobile </t>
  </si>
  <si>
    <t>gland cable purchased</t>
  </si>
  <si>
    <t>Voucher no-20141550314, plastic tub</t>
  </si>
  <si>
    <t>120 fuse small</t>
  </si>
  <si>
    <t>50 fuse big</t>
  </si>
  <si>
    <t>male female socket purchased</t>
  </si>
  <si>
    <t>telephone ext. wire</t>
  </si>
  <si>
    <t>bill no 1665, tubes &amp; bucket</t>
  </si>
  <si>
    <t xml:space="preserve">bill no 512, 8 split ac of lloyd </t>
  </si>
  <si>
    <t xml:space="preserve">bill no 713, switches and plug </t>
  </si>
  <si>
    <t>bill no 809, 1 baby craddle</t>
  </si>
  <si>
    <t>cable wires purchased</t>
  </si>
  <si>
    <t>pvc wire purchased for DG set</t>
  </si>
  <si>
    <t>OT light puchased</t>
  </si>
  <si>
    <t>Voucher no 20141550364, kitchen items</t>
  </si>
  <si>
    <t>voucher no 20141550365, gas burner, plates</t>
  </si>
  <si>
    <t>Freight for cooler</t>
  </si>
  <si>
    <t>voucher no 20141550391, grass cutter</t>
  </si>
  <si>
    <t>MCB etc</t>
  </si>
  <si>
    <t>voucher no 20141550394, switch port</t>
  </si>
  <si>
    <t>earthing electrode purchased</t>
  </si>
  <si>
    <t>vch no 20141550416, 1 cooler</t>
  </si>
  <si>
    <t>batten, mcb etc purchased</t>
  </si>
  <si>
    <t>voucher no 20141550436, patient warming blanket</t>
  </si>
  <si>
    <t>voucher no 20141550439, LAN tester, cabinet, bgs cable</t>
  </si>
  <si>
    <t>voucher no 20141550426, patient warming blanket</t>
  </si>
  <si>
    <t>voucher no 20141550435, plastic boxes &amp; shoe rack</t>
  </si>
  <si>
    <t>microwave purchased</t>
  </si>
  <si>
    <t>voucher no 20141550464, vintech osygen cylinder trolly</t>
  </si>
  <si>
    <t>voucher no 20141550465, x ray view box,</t>
  </si>
  <si>
    <t xml:space="preserve">voucher no 20141550468, 5 hydro meter </t>
  </si>
  <si>
    <t>voucher no 20141550479, plastic box</t>
  </si>
  <si>
    <t>voucher no 20141550480, kitchen equipment</t>
  </si>
  <si>
    <t>rider</t>
  </si>
  <si>
    <t>Bill no 11696, mobile purchased</t>
  </si>
  <si>
    <t>sockets</t>
  </si>
  <si>
    <t>voucher no 20141550498, plastic containers</t>
  </si>
  <si>
    <t>voucher no 20141550499, plastic boxes</t>
  </si>
  <si>
    <t>mbc boxes etc</t>
  </si>
  <si>
    <t>voucher no 20141550507, x ray view box,</t>
  </si>
  <si>
    <t>pvc wires</t>
  </si>
  <si>
    <t>matten, lamp</t>
  </si>
  <si>
    <t>vch no 20141550536, room heater</t>
  </si>
  <si>
    <t>voucher no 20141550574</t>
  </si>
  <si>
    <t>vch no 20141550590, 6' fan qty 1</t>
  </si>
  <si>
    <t>sockets etc</t>
  </si>
  <si>
    <t>voucher no 20141550593, indicators and documents gun</t>
  </si>
  <si>
    <t>voucher no 20141550601</t>
  </si>
  <si>
    <t xml:space="preserve">bill no 2192, samsung metro </t>
  </si>
  <si>
    <t xml:space="preserve">bill no 2193, samsung metro </t>
  </si>
  <si>
    <t>Purchased 1 mobile phone for M.S</t>
  </si>
  <si>
    <t>pvc wires, pvc pipes</t>
  </si>
  <si>
    <t>voucher no 20141550633, patient warming sys</t>
  </si>
  <si>
    <t xml:space="preserve">bill no 154, cardiac table and function bed </t>
  </si>
  <si>
    <t xml:space="preserve">bill no 1658, various switches and sockets </t>
  </si>
  <si>
    <t>voucher no 20141550681, ,mirowave 1, bill no 1909</t>
  </si>
  <si>
    <t>voucher no 20141550688, speakers &amp; micro phone</t>
  </si>
  <si>
    <t>Bill no 2132, 2 water dispensers</t>
  </si>
  <si>
    <t>bill no t964, 192 ltr fridge</t>
  </si>
  <si>
    <t>bill no R-69974, 2 exhaust fan</t>
  </si>
  <si>
    <t>voucher no 20141550704, bread knife &amp; blender, bill no 1967</t>
  </si>
  <si>
    <t>2 water dispensers purchased</t>
  </si>
  <si>
    <t>3 videcon fridge purchased</t>
  </si>
  <si>
    <t xml:space="preserve">time switch </t>
  </si>
  <si>
    <t>gysers and exhaust fan</t>
  </si>
  <si>
    <t>bill no 24</t>
  </si>
  <si>
    <t>Bill No 24</t>
  </si>
  <si>
    <t>voucher no 20141550754, PDC Device and indicator steam, doc labels</t>
  </si>
  <si>
    <t>batten, tube rods, boards sheets etc</t>
  </si>
  <si>
    <t>voucher no 20141550772</t>
  </si>
  <si>
    <t>voucher no 20141550773, jugs &amp; buckets</t>
  </si>
  <si>
    <t>voucher no 20141550764, crockery</t>
  </si>
  <si>
    <t>voucher no 20141550782, cups &amp; bowls</t>
  </si>
  <si>
    <t>2 clamp meter</t>
  </si>
  <si>
    <t xml:space="preserve">10 room heaters </t>
  </si>
  <si>
    <t>pvc wires, gang box</t>
  </si>
  <si>
    <t>voucher no 20141550801, hot food trolly</t>
  </si>
  <si>
    <t>voucher no 20141550804,bed side nursing call central</t>
  </si>
  <si>
    <t>sub meter for dental area</t>
  </si>
  <si>
    <t>earthing electrode - T-39</t>
  </si>
  <si>
    <t>voucher no 20141550708,</t>
  </si>
  <si>
    <t>voucher no 20141550709</t>
  </si>
  <si>
    <t>voucher no 20141550710</t>
  </si>
  <si>
    <t>installation of split ac and copper pipe</t>
  </si>
  <si>
    <t>partal 2*2- 240 ft</t>
  </si>
  <si>
    <t>voucher no 20141550819, mixer grinder, karahi, patila glasses etc.</t>
  </si>
  <si>
    <t>voucher no 20141550850, sauce bottles, cups</t>
  </si>
  <si>
    <t>3 gysers and 5 room heaters</t>
  </si>
  <si>
    <t>Water hardening test kit</t>
  </si>
  <si>
    <t>Regulator Max, Safety MAT, Cylinder meter</t>
  </si>
  <si>
    <t xml:space="preserve">room heaters </t>
  </si>
  <si>
    <t>inline fan purchased</t>
  </si>
  <si>
    <t>mobile phone purchased deepak mgr</t>
  </si>
  <si>
    <t>Telephone purchased for RHO</t>
  </si>
  <si>
    <t xml:space="preserve"> JV- 4777, 1 weighing scale </t>
  </si>
  <si>
    <t>Mat under electric main boards for protection</t>
  </si>
  <si>
    <t>voucher no 20141550959, spoons, flask, glasses</t>
  </si>
  <si>
    <t>15 ltrs gyser qty 4</t>
  </si>
  <si>
    <t>16 fire buckets</t>
  </si>
  <si>
    <t xml:space="preserve">16 pcs wall clock </t>
  </si>
  <si>
    <t>voucher no 20141550923, 24 flask &amp; white tray</t>
  </si>
  <si>
    <t>voucher no 20141550956, peeler and chef knife</t>
  </si>
  <si>
    <t>3 fire stand made</t>
  </si>
  <si>
    <t>Globe holder andhalogen light holder purchased</t>
  </si>
  <si>
    <t>Lock pad purchased</t>
  </si>
  <si>
    <t>Maintenance Tools &amp; equipment</t>
  </si>
  <si>
    <t>Locks and nails purchased</t>
  </si>
  <si>
    <t>Membrane for RO Purifier and TDS Tester</t>
  </si>
  <si>
    <t>2 cfl tubes purchased</t>
  </si>
  <si>
    <t>Wires, gang box, MCB</t>
  </si>
  <si>
    <t>25 ltrs gyser purchased</t>
  </si>
  <si>
    <t>Curreny counting machine LNC 10 MG</t>
  </si>
  <si>
    <t>Gees for A/c, Faliring Block</t>
  </si>
  <si>
    <t>voucher no 20141551073, mixer juicer, saucers &amp; tray</t>
  </si>
  <si>
    <t>bill no 1016, flooded chiller qty 1</t>
  </si>
  <si>
    <t>bill no 1017, flooded chiller qty 1</t>
  </si>
  <si>
    <t xml:space="preserve"> 4 Set channel key 12"</t>
  </si>
  <si>
    <t>Serving Tray Steel, Flask</t>
  </si>
  <si>
    <t>2016-17</t>
  </si>
  <si>
    <t>Serving Tray Steel</t>
  </si>
  <si>
    <t>Que Manager</t>
  </si>
  <si>
    <t>Instrument Trolley</t>
  </si>
  <si>
    <t>Videocon Refrigerator 50 Ltr</t>
  </si>
  <si>
    <t xml:space="preserve">Hair Refrigerator 181 Ltr </t>
  </si>
  <si>
    <t>Electrolux refrigerator 47 ltr</t>
  </si>
  <si>
    <t>Bill no 002 , aluminium suction qty 1989.865 kg</t>
  </si>
  <si>
    <t>Gas pipe lines</t>
  </si>
  <si>
    <t>Bill no 003, copper pipe qty 829.943 kg</t>
  </si>
  <si>
    <t>Bill no 004, suction jar with regulator qty 310</t>
  </si>
  <si>
    <t>Bill no 010, Aluminium profiles qty 1912.577 kg</t>
  </si>
  <si>
    <t>Bill no 011, copper pipe various qty 1522.572 kg</t>
  </si>
  <si>
    <t>2 beetal phone</t>
  </si>
  <si>
    <t>Telephone or Mobile</t>
  </si>
  <si>
    <t>canon printer, beetal telephone</t>
  </si>
  <si>
    <t xml:space="preserve">mobile phone </t>
  </si>
  <si>
    <t>Switch 5 amp, socket 15amp, pvc wall plug &amp; remote bells</t>
  </si>
  <si>
    <t>Maintenace Tools &amp; Equipement</t>
  </si>
  <si>
    <t xml:space="preserve">Misc. assets </t>
  </si>
  <si>
    <t>Hammers &amp; clamps</t>
  </si>
  <si>
    <t xml:space="preserve">Fan for chillar plant </t>
  </si>
  <si>
    <t>Cables, PVC wires, CFL ligths</t>
  </si>
  <si>
    <t>Socket 15AMP, Saddle 25MM, MCB 63 AMP</t>
  </si>
  <si>
    <t>10 LED lights</t>
  </si>
  <si>
    <t>LED lights</t>
  </si>
  <si>
    <t>LED TV 32inch</t>
  </si>
  <si>
    <t>Set top box, Bill no 26010</t>
  </si>
  <si>
    <t>Set top box</t>
  </si>
  <si>
    <t>2 RO 50 Ltr</t>
  </si>
  <si>
    <t xml:space="preserve">Bill No 174, </t>
  </si>
  <si>
    <t>Bill no 27, Bio Medical Waste trolley</t>
  </si>
  <si>
    <t>Bio Medical Waste trolley</t>
  </si>
  <si>
    <t xml:space="preserve">Bill No 1887, </t>
  </si>
  <si>
    <t>Room Heater (3 tube Halogen orpat)</t>
  </si>
  <si>
    <t>Room Heater</t>
  </si>
  <si>
    <t>Digital Weighing Scale</t>
  </si>
  <si>
    <t>Digital Weighing scale</t>
  </si>
  <si>
    <t>Bill No 2867, B P Apratus (dial)</t>
  </si>
  <si>
    <t>B. P Apratus (Dial)</t>
  </si>
  <si>
    <t>Bill no 1914</t>
  </si>
  <si>
    <t>Bill no 2330, Room heater (3Tube Halogen Orpat)</t>
  </si>
  <si>
    <t>Room heater (3 Tube Halogen Orpat)</t>
  </si>
  <si>
    <t>Bill No 94</t>
  </si>
  <si>
    <t>batteries &amp; Inverter</t>
  </si>
  <si>
    <t>UPS Batteries</t>
  </si>
  <si>
    <t>Drill Machine</t>
  </si>
  <si>
    <t>Bill No 933, Samsung Galaxy 7262</t>
  </si>
  <si>
    <t>Bill No 1867,</t>
  </si>
  <si>
    <t>Bill No 1708</t>
  </si>
  <si>
    <t>Dehumidifier</t>
  </si>
  <si>
    <t>Refurbish Humidifier 850 Fisher</t>
  </si>
  <si>
    <t>Humidifer</t>
  </si>
  <si>
    <t>Bill no 1715, balloon pump</t>
  </si>
  <si>
    <t>IABP Baloon Pump</t>
  </si>
  <si>
    <t>Bill 9, (Dehumidifier machine for bio plant</t>
  </si>
  <si>
    <t>Bill 70125</t>
  </si>
  <si>
    <t>Bill no 70124</t>
  </si>
  <si>
    <t>bill 70139</t>
  </si>
  <si>
    <t>Room Heater(3 Tube Halogen Orpat)(2462)</t>
  </si>
  <si>
    <t>Printer laser 2900 canon</t>
  </si>
  <si>
    <t>New plant installation in chiller plants</t>
  </si>
  <si>
    <t xml:space="preserve">Subscription for 2 months tata </t>
  </si>
  <si>
    <t>Settop box</t>
  </si>
  <si>
    <t>Being Assets purchased</t>
  </si>
  <si>
    <t>2017-18</t>
  </si>
  <si>
    <t xml:space="preserve">Air Coolers </t>
  </si>
  <si>
    <t>Mobile</t>
  </si>
  <si>
    <t>Bill no 356, Water Storage Tank</t>
  </si>
  <si>
    <t>AC VOLTAS 1 TON SPLIT 3 STAR</t>
  </si>
  <si>
    <t>Bill no 2149, Battery For ECG machine</t>
  </si>
  <si>
    <t>Medical Equipment</t>
  </si>
  <si>
    <t>bill no 2729, 25 ltr gyser</t>
  </si>
  <si>
    <t>GYSER</t>
  </si>
  <si>
    <t>bill no 277 ,25 ltr gyser</t>
  </si>
  <si>
    <t>telephone armed wire 50pair</t>
  </si>
  <si>
    <t>bill no 31, Phone Beetal</t>
  </si>
  <si>
    <t>Being mobile purhcased for cash</t>
  </si>
  <si>
    <t>Phone Beetal</t>
  </si>
  <si>
    <t>INV. NO. 3095/14.12.17 FOR HEATER 20 PCS</t>
  </si>
  <si>
    <t>INV. NO. 48/18.12.17  (ASSY AMZ 10' LCD SUPPORT PART W/O TOUCH     _x000D_
)</t>
  </si>
  <si>
    <t>Comp. Philips 8 Pin soft silicone SPO2 sensor     _x000D_
 10 pcs &amp; Single tube NIBP Cuff Adult 25-35cm     _x000D_
 5 pcs &amp; Bipolar forcep cable Euro Type     _x000D_
 1 pc &amp; Comp. 3 Lead 12 Pin Philips ECG sensor     _x000D_
 2 pc</t>
  </si>
  <si>
    <t>BEING ADVANCE PAYMENT MADE AS PER APPROVAL BY BAVNEET SIR &amp; GMO SIR</t>
  </si>
  <si>
    <t>ASSY AMZ 10' LCD SUPPORT PART W/O TOUCH     _x000D_
 1 pc</t>
  </si>
  <si>
    <t>Plant &amp; Machinery</t>
  </si>
  <si>
    <t>Sanction Machine</t>
  </si>
  <si>
    <t>Bill no 2562, Electronic Cash Billing machine</t>
  </si>
  <si>
    <t>Floor Machine</t>
  </si>
  <si>
    <t>Being 1 PC Compressor 3 HP 160 HR purchased bill no 00681</t>
  </si>
  <si>
    <t>2018-19</t>
  </si>
  <si>
    <t>Cpvc Pipe ,Cpvc Tee cpvc Elbow exps.,Bill No.- 23,Dated On.-6.4.18</t>
  </si>
  <si>
    <t>water dispencer exps bil;l No.-41801111,Dated On.- 10.4.18.</t>
  </si>
  <si>
    <t>Lamp,Batten Holder,greatwhite PVC wire,Tape Roll Cable tie exps., Bill No .- 169 ,Dated On- 10.4.18</t>
  </si>
  <si>
    <t>Attendent bad with side panels, ,mattress for attendent, bad msttress plain, bill no.- 74Dated on.- 15.4.18</t>
  </si>
  <si>
    <t>glass exps Bill No.-3603 Dated on.-14.4.18</t>
  </si>
  <si>
    <t>Being Phototherapy unit (CFL) Double Seuface purchase (Qty2) Bill no 5</t>
  </si>
  <si>
    <t>Exaust Fan., Flexible Pipe Freight exps Bill No.- 419. Dated On.- 20.4.18</t>
  </si>
  <si>
    <t>Insulated Flask ,Buket exps. Bill No .-3616 Dated On.- 24.4.18</t>
  </si>
  <si>
    <t>Being hospital equipment purhcaed vide bill no 95 dated 1.5.2018</t>
  </si>
  <si>
    <t>Sun Board exps ., Bill No.-15, Dated On.- 14.5.18</t>
  </si>
  <si>
    <t>CFl , electronic chock, tube rod, flexible pipe, saddle, wire, freight Bill No.- 888, Dated On.- 9.5.18</t>
  </si>
  <si>
    <t>Being attendents beds , matteress, Bed matteress vide bill no 39</t>
  </si>
  <si>
    <t>CPVC, Ball Valve, Socket, Bill No .- 117, Dated on.- 4.5.18</t>
  </si>
  <si>
    <t>Glass, whisker large, atta channi, steel  BIll No .- 3632, dated on .- 28.5.18</t>
  </si>
  <si>
    <t>Being hospital equipment purhcaed vide bill no 112 dated 2/6/2018</t>
  </si>
  <si>
    <t>Bill No .- 69, Dated On.- 30.5.18</t>
  </si>
  <si>
    <t>Sternal Saw head, Bill No.- 255 , Dated On.- 6.6.18</t>
  </si>
  <si>
    <t>Exhaust Fan, Switch, Sockey, mGanh Bax., Bill No.- 1626, Dated on.-12.6.18</t>
  </si>
  <si>
    <t>Plastic Box, Duster For Kitchen,Bill No.- 3664, Dated On.,-19.6.18</t>
  </si>
  <si>
    <t>element, lub oil filter, tla fuel filer, seperator fuel water, element CRN, inner, outer , bill No.- 245, Dated on.- 20.6.18</t>
  </si>
  <si>
    <t>Glass, Bill No.- 693, Dated on.- 14.7.18</t>
  </si>
  <si>
    <t>Bill No.- 478, Dated on.- 14.7.18, GRN No.- 2018190900259.(samsung mobile)</t>
  </si>
  <si>
    <t>Exaust fan, switch, socket, module,Bill no.- 002338, Dated on.- 16.7.18</t>
  </si>
  <si>
    <t>EEG Electrod set 25pc,Bill No.- 052, Dated on.- 4.7.18</t>
  </si>
  <si>
    <t>Welding Set, Bill No.- 96/1, Dated on.- 12.7.18</t>
  </si>
  <si>
    <t>samsung mobile , Bill No.- 189, Dated On.- 18.7.18</t>
  </si>
  <si>
    <t>Led light 12w, led 6w .bill no.- 863, dated On.- 19.7.18</t>
  </si>
  <si>
    <t>Nails, Multipurpose furniture lock, hings, telescopic channel, toer bolt, drawer Handle, balck screw, ply board, Door stoper. , Bill No.- 320, Dated On.- 17.7.18</t>
  </si>
  <si>
    <t>G Chnannel  aluminium , Nails, masking Tape, ply mica sheet, Bill No.- 326, Dated On.- 18.7.18</t>
  </si>
  <si>
    <t>Outdoor road sign board asr road jalandar , Bill No.- 10, GRN No.- 2018190900304.</t>
  </si>
  <si>
    <t>Meausring jar, Plastic box, Plastic box.Bill no .-3721, Dated On.- 30.7.18</t>
  </si>
  <si>
    <t>Blue star ac 1 ton Split, Bill No.- 810044, dated On.- 30.7.18</t>
  </si>
  <si>
    <t>Being Bill no.- 21, Dated On.-7.8.18 for 1st floor .OT PLm Installation, Ot celling , coridoor Celling, it room celling.</t>
  </si>
  <si>
    <t>Floor Machine, Bill No.- 093, dated On.- 28.7.18</t>
  </si>
  <si>
    <t>RO 50ltr, Bill No.- 145, Dated On.- 2.8.18.</t>
  </si>
  <si>
    <t>Ro 25ltr, Bill No.- 144, dated On.- 2.8.18.</t>
  </si>
  <si>
    <t>Waste pipe, PVc Connation pipe, Bill No.- 427, Dated On.- 6.8.18</t>
  </si>
  <si>
    <t>Batten , wrie, switch, socket, tube rod, three pin., Bill no.- 2924, Dated On.- 8.8.18</t>
  </si>
  <si>
    <t>Glass, Flask refil, washel for flask refil, apron for chef, Bill No.- 3739, dated On.- 4.8.18</t>
  </si>
  <si>
    <t>Geyser 15ltre, Bill No.- 2794, Dated On.- 3.8.18</t>
  </si>
  <si>
    <t>water Jug plastic, Bill No.- 3750, dated On.- 9.8.18</t>
  </si>
  <si>
    <t>Sofa set, Bill no.- 33, dated On.- 9.8.18</t>
  </si>
  <si>
    <t>wall mixture, C. Hole Mixture, leg set mixture, Bill No.- 441, dated On.- 9.8.18</t>
  </si>
  <si>
    <t>Setup box tata sky, Bill No.- 1815, Dated On.- 8.8.18, GRN No.- 2018190900432.</t>
  </si>
  <si>
    <t>glass, insulated flask 125, bharat harmony soup bowl, bill no.- 3751, Dated on.- 9.8.18</t>
  </si>
  <si>
    <t>Phone set beetel, cable tester., bill no.- 968, Dated on.- 8.8.18</t>
  </si>
  <si>
    <t>outlet paint medical oxygen vaccum, air, pvc sedal, bill no.- 244, Dated on.- 8.8.18</t>
  </si>
  <si>
    <t>Attendent bad with side panels, ,mattress for attendent, bad msttress plain, bill no.- 69, Dated on.- 3.8.18</t>
  </si>
  <si>
    <t>7 pcs of MUI LED TV 32 inch &amp; Haier Ref HR-62VS 1 pc</t>
  </si>
  <si>
    <t>Cardiac table, bed side locker, bill no.- 077, Dated on.- 9.8.18</t>
  </si>
  <si>
    <t>led tv 32' 40', Bill no.- 104, dated on.- 10.8.18</t>
  </si>
  <si>
    <t>BPC Flowmeter, vaccum rewulator with 600ml, Probe l,Bill No.- 357, dated On.- 2.8.18</t>
  </si>
  <si>
    <t>sign board, bill no.- 48, dated on.-1.8.18</t>
  </si>
  <si>
    <t>Bedding, nails, bill no .- 344, dated on.- 10.8.18</t>
  </si>
  <si>
    <t>Buket plastic, bathh stool, mug, Plastic box, Bill No.- 3768, dated On.- 14.8.2018</t>
  </si>
  <si>
    <t>flask refil, Bill no.- 3777, dated On.- 20.8.2018</t>
  </si>
  <si>
    <t>Gumge Roll, Bill No.- 360, Dated on.- 20.8.2018</t>
  </si>
  <si>
    <t>Cp Angal valve, mixture, cpvc bush, elbow, socket, bib cock, bill no.- 442, Dated on.- 10.8.2018</t>
  </si>
  <si>
    <t>cpvc pipe, elbow, cp angal valve, cpvc tee, bib cock, leg set mixture, bill no.- 418, Dated on.- 2.8.2018</t>
  </si>
  <si>
    <t>Nipple, cpvc elbow, hexa nipple, dead plug, dead Plug, cpvc pipe, socket, angal valve, black cover, White cement, Bill No.- 401, Dated On.- 28.7.2018</t>
  </si>
  <si>
    <t>Ncs Display, Bed SIde Unit ncs, IUPs Make intex, Bill No.- 8, Dated On.- 1-8-18,</t>
  </si>
  <si>
    <t>Being Bill no FR-2018-19/0074 dated 20-8-18 (advertisement through outdoor hoarding) (PAN AATPU2689J</t>
  </si>
  <si>
    <t>Being bill no FR-201819-/0073 DATED 20-8-18 (Towards advertisement through outdoor hoarding/media)</t>
  </si>
  <si>
    <t>Cup for tea bone chiana, freight</t>
  </si>
  <si>
    <t>Mobile Phone  vivo y531, Bill No.- 1523, Dated On.- 7.9.2018</t>
  </si>
  <si>
    <t>bill no.1220, dated on 01.09.2018(Q manger heavy)</t>
  </si>
  <si>
    <t>being LED D/L 12 watt PURCHASED  (20 PCS)</t>
  </si>
  <si>
    <t>aluminium section, steel screw,door handle,wheel set,</t>
  </si>
  <si>
    <t>Ring set for vaccum pump, Valve plate steep, gasket set for vaccum pump, Bill No.- 250, DAted On.- 29.8.2018</t>
  </si>
  <si>
    <t>Hp piston forair, ring set for aircompressor, valve guide,gaslet set , suction airfilter for air compressor, Bill No.- 249, Dated On.- 29.8.2018</t>
  </si>
  <si>
    <t>bill no.40, dated on 01.09.2018 (spo2 cable for philips, spo2 cable neonate, ecgprobe5 lead mp20)</t>
  </si>
  <si>
    <t>Heater for Band Sealer, Bill no.-0651, DAted On.- 12.9.2018</t>
  </si>
  <si>
    <t>Chefing dish 2 portion, Laddle Steel, water Bottle 20 ltr, Bill No.- 3826, ADted On.- 14.9.2018</t>
  </si>
  <si>
    <t>power supply for Xray machine</t>
  </si>
  <si>
    <t>Kit 1 NOva aquaguard, Bill No.- 17, DAted On.- 21.9.2018</t>
  </si>
  <si>
    <t>relay pcb, Bill No.- 393, Dated On.- 21.9.2018</t>
  </si>
  <si>
    <t>house pipe, smoke detector for fire alarm, sprinkler for hydrant, hose reel for nozzel rubber for hose box MCp Hember, Bill No.- 151, Dated On.- 22.09.2018.</t>
  </si>
  <si>
    <t>DWYER Magnehelic , SS Mounting  box, Bill No.- 924, Dated On.- 25.9.2018</t>
  </si>
  <si>
    <t>Led 12w , led 6w. Bill No.- 255, DAted On.- 6.10.2018</t>
  </si>
  <si>
    <t>medical flexible pipe for oxygen , brackets for flowmeter, Bill No.- 540, dated On.- 18.10.2018</t>
  </si>
  <si>
    <t>Tea container, Bill No.- 3918, dated On.- 18.10.2018</t>
  </si>
  <si>
    <t>Optical fingerprint sensor , Bill No.- 1205, Dated On.- 06.9.2018</t>
  </si>
  <si>
    <t>Wall Fan &lt; Bill No.- 4502, dated On.- 27.10.2018, GRN no.- 2018195000216.</t>
  </si>
  <si>
    <t>Shower, mta, pvc pipe, end cap, c.s.c disk, Bill N.- 687, dated On.- 25.10.2018</t>
  </si>
  <si>
    <t>stethoscope, Bill No.- 11306, Dated on.- 7.11.2018, GRN No.- 2018195000230</t>
  </si>
  <si>
    <t>Saw cable, Bill No.- 301.</t>
  </si>
  <si>
    <t>LED flood light 50w, Bill No.- 4843, dated On.- 17.11.2018, GRN No.- 2018195000272.</t>
  </si>
  <si>
    <t>Camera Bult2.4, doom, camra smps10ah, Bill No.=- 1602, Dated On.- 10.11.2018</t>
  </si>
  <si>
    <t>Microwave20lt whirlpool solo, Bill No.- 3437.</t>
  </si>
  <si>
    <t>Weighing machine , stethoscope, Bill No.-478.</t>
  </si>
  <si>
    <t>Hand dryer, Bill No.- 1819, Dated on.- 29.11.2018, GRN No.- 2018195000301.</t>
  </si>
  <si>
    <t>mobile phone exps, bill no.- 2339, Dated On.- 7.12.2018, GRn NO.-2018195000316.</t>
  </si>
  <si>
    <t>Battery pulse lite 12v, 100ah, Bill No.- 0694.</t>
  </si>
  <si>
    <t>mox regulater for oxygen single gauge, bpc flow meter with humidifier bottle, Bill No.- 272.</t>
  </si>
  <si>
    <t>One way vision , left eco vinyl branding, ivy led logo acrl letter with repair, flex star, Bill No.- 34, Dated on.- 3.12.2018, grn no.- 2018195000313.</t>
  </si>
  <si>
    <t>being bill of advertisement towards through outdoor hoarding / media (bill no FR-2018-19/0100) DATED 10.10.2018</t>
  </si>
  <si>
    <t>being bill of advertisement towards through outdoor hoarding / media (bill no FR 2018-19/0119 DATED 20.11.2018)</t>
  </si>
  <si>
    <t>Chapati roaster, tea saucer bone china, soup bowl bone china, tea spoon, dringing glass cup frotea bone chiana, flask refil. Bill No.- 4010.</t>
  </si>
  <si>
    <t>Ms. Rack, bill No.- 78.</t>
  </si>
  <si>
    <t>Mobile phone , Bill No.- 13060. GRN No.- 2018195000360.</t>
  </si>
  <si>
    <t>spo2 probe for philips, ECG Cable, hose pipe for monitor, nibp cuff adult, Bill No.-72, GRn No.- 2018195000378.</t>
  </si>
  <si>
    <t>telescope channel , pad lock, drawer lock, Bill no.- 490.</t>
  </si>
  <si>
    <t>Lpg Regulator, Wooden Belan, flask celo350ml, Steel container, bucket, laddle big, peeler decent, idli pot round 50pcs. Bill No.- 4040.</t>
  </si>
  <si>
    <t>Clip applicator, Bill No.-4473.</t>
  </si>
  <si>
    <t>Saw Blade, Bill No.- 948.</t>
  </si>
  <si>
    <t>, bill No-4070</t>
  </si>
  <si>
    <t>Sun Board, Bill No.- 131,</t>
  </si>
  <si>
    <t>Weighing machine , Bill No.- 559.</t>
  </si>
  <si>
    <t>EEG Lead Gold Plated 25 leads, EEG Cable Electrodes, Bill No.- 78.</t>
  </si>
  <si>
    <t>DATED ON 1605 , GRN -2018195000480 , DOCUMENTATION LABEL FOR ETO , CHEMICAL INDICATOR , BIOLOGICAL INDICATOR ETO</t>
  </si>
  <si>
    <t>DATED ON 01.02.2019 , GRN -2018195000481 , BOWIE DICK TEST , STERILIZATION REAL  75 MMX , 100MM,</t>
  </si>
  <si>
    <t>BILL NO 80 , GRN 2018195000484 , STEEL RACKS SIZE</t>
  </si>
  <si>
    <t>BILL NO 1762 , GRN 2018195000490 , NEBULIZER</t>
  </si>
  <si>
    <t>BILL NO 1257 , DATED ON 25.02.2019 , GRN - 2018195000522 ,EMG STIMULATOR FOR NEUROSTIM , NCV ELETRODES , GROUND ELECTRODE , 5 PIN EMG CONNECTOR</t>
  </si>
  <si>
    <t>mobile phone nokia105, Bill No.- 16079, Grn No,.- 82018195000523.</t>
  </si>
  <si>
    <t>BILL NO 4115 , DATED ON 22.02.2019 , GRN - 2018195000526</t>
  </si>
  <si>
    <t>DATED ON 23.02.2019 , GRN - 201819500541 , MICRO NEEDLE HOLDER 0.9 MM MICRO JAWS</t>
  </si>
  <si>
    <t>DATED ON 25.02.2019 , GRN - 2018195000542 , LED D/L 12 W ROUND 4K MAKE OPPLE LED D/L 6W 4000K</t>
  </si>
  <si>
    <t>bill no 645 , GRN - 2018195000546  , weight machine digitals</t>
  </si>
  <si>
    <t>bill no 7096 , grn - 2018195000633 ,  LED TUBE FITTING</t>
  </si>
  <si>
    <t>111/2019205000028</t>
  </si>
  <si>
    <t>2019-20</t>
  </si>
  <si>
    <t>HOSPITAL EQUIPMENTS</t>
  </si>
  <si>
    <t>bill no 116 , GRN -2019205000052 , Nebulizer</t>
  </si>
  <si>
    <t>Bill no 57 , GRN2019205000063 , display contraler</t>
  </si>
  <si>
    <t>bill no 6 , GRN -2019205000066 , Spo 2probe for philipis , nibs cuff single tubing pediatric</t>
  </si>
  <si>
    <t>bILL NO 2014 , GRN 2019205000099 , PULSE OXYMETER FINGERTIP</t>
  </si>
  <si>
    <t>bill no 254 , GRN - 2019205000128 , BP appratus , Bp apparatus manual clock</t>
  </si>
  <si>
    <t>bill no 298 , GRN - 2019205000140 , sterile gauze swab</t>
  </si>
  <si>
    <t>Bill no 299 , GRN - 2019205000139 pulse oxymeter</t>
  </si>
  <si>
    <t>bill no 4324 , GRN - 2019205000186 , Flask Romance 350 ML , TEA SPOON , soup bowl bone china , Veg Bowl bone china , drinking glass</t>
  </si>
  <si>
    <t>bill no 007 , GRN - 2019205000216 , SAW cable</t>
  </si>
  <si>
    <t>Bill no 3983 , GRN- 2019205000217  laryngoscope Adult</t>
  </si>
  <si>
    <t>bill no 131 , GRN -2019205000263 , BP cuff Adult ST , SPO2 cables for philips , ecg prbe 5 lead mp20</t>
  </si>
  <si>
    <t>Bill no 4362 , GRN - 2019205000268 , plastic jug , drinking glass</t>
  </si>
  <si>
    <t>Bill no 103 , GRn - 2019205000352 , Micro Needal holder MN 134 D ( Use for Cardic OT)</t>
  </si>
  <si>
    <t>BEING BILL BOOK FOR STRIP HEATER  M.S OT 2 &amp; 3 (A.H.U) purchases of pats of heater</t>
  </si>
  <si>
    <t>Bill no 194 , GRN - 2019205000405 , weight Machine</t>
  </si>
  <si>
    <t>Bill no 4517 , ladder big , Flask 350ML</t>
  </si>
  <si>
    <t>bill no 4516 , white plates full , tea saucer bone china  , cup , suop bowel , tea spone</t>
  </si>
  <si>
    <t>bill no 11571</t>
  </si>
  <si>
    <t>BILL NO 120</t>
  </si>
  <si>
    <t>BILL NO 121</t>
  </si>
  <si>
    <t>BILL NO 685</t>
  </si>
  <si>
    <t>bill no 152</t>
  </si>
  <si>
    <t>bill no 22074</t>
  </si>
  <si>
    <t>bill no 22075</t>
  </si>
  <si>
    <t>clip applicator (medium) horizon purchased bill no. 749</t>
  </si>
  <si>
    <t>BILL NO 326</t>
  </si>
  <si>
    <t>BILL NO  22790</t>
  </si>
  <si>
    <t>BEING NEBULIZER PURCHASED BILL NO. 1649</t>
  </si>
  <si>
    <t>Bill no 1564 , GRN - 2019205000150 , wall fan , tube lite fitting , flexing pipe</t>
  </si>
  <si>
    <t>Bill no 1810 , GRN - 2019205000187 , fly killer , exhaust fan 6 , three pin top plug 5A anchor</t>
  </si>
  <si>
    <t>Dated on 2691 , GRN -2019205000301 , Wall Fan orient , PVC Saddle  , Gang Box &lt;odule Sheet Set, Exhaust 8 X3 6M rder</t>
  </si>
  <si>
    <t>Bill no 315 , GRN - 2019205000420 ,  LED Downlighter 12 WT Qty 40 ,  LED 6 w QTY 20</t>
  </si>
  <si>
    <t>Bill no 4175 , Exhaust fan 6 , MCB Box , Gang Box , Wires</t>
  </si>
  <si>
    <t>Bill no 383 , Led tube 18 W , LED D/L 12W round 4k</t>
  </si>
  <si>
    <t>being glass wire, block connector, thimble purchased cash bill no. 120</t>
  </si>
  <si>
    <t>pvc wall plug, cable tie, tube rod, wire 1.5 mm, fly killer etc. bill no. 7272</t>
  </si>
  <si>
    <t>being LED Flood light purchased bill no. 1021</t>
  </si>
  <si>
    <t>exhaust fan, remote call bell, batten, led bulb, gang box bill no. 7872</t>
  </si>
  <si>
    <t>hours meter bill no. 1049</t>
  </si>
  <si>
    <t>led flood light bill no. 7980</t>
  </si>
  <si>
    <t>exhaust fan, pvc tape roll, led flood light bill no. 8026</t>
  </si>
  <si>
    <t>exide battery 12v 18 ah bill no. 2558</t>
  </si>
  <si>
    <t>Bill no 771 , GRN 2019205000399 , HEPA filters  for  OT</t>
  </si>
  <si>
    <t>Bill No 43</t>
  </si>
  <si>
    <t>Bill No 41</t>
  </si>
  <si>
    <t>Bill No 42</t>
  </si>
  <si>
    <t>Bill no 483 , GRN - 2019205000222 , Battery</t>
  </si>
  <si>
    <t>BILL NO 625 PURCHASE BEING FOR BATTERY PULSE LITE 12V 100AH, BATTERY CHARGER</t>
  </si>
  <si>
    <t>new nokia mobile pur model 105ss From mobile plaza b no 6784</t>
  </si>
  <si>
    <t>Telephone Or Mobile A/c</t>
  </si>
  <si>
    <t>Bill no 3701 , Mobile samasung guru 1200</t>
  </si>
  <si>
    <t>Bill no 10460 , mobile 1200 Guru</t>
  </si>
  <si>
    <t>Bill 4273 Bone chine Soup Bowl</t>
  </si>
  <si>
    <t>BILL NO 12 , GRN 82019205000083 , SUN BOARD</t>
  </si>
  <si>
    <t>Sign Boards</t>
  </si>
  <si>
    <t>Bill no 15 ,GRN - 2019205000119 , Sun Board</t>
  </si>
  <si>
    <t>bill no 16 , GRN - 2019205000131 , sun board</t>
  </si>
  <si>
    <t>BILL NO 23 , GRN - 2019205000180 , SUN BOARD</t>
  </si>
  <si>
    <t>bill no 24 , GRN -2019205000204 , sun board</t>
  </si>
  <si>
    <t>bill no 35 , grn -2019205000330 , sun board</t>
  </si>
  <si>
    <t>bill no 43 , GRN -2019205000389 , Sun Board</t>
  </si>
  <si>
    <t>Bill no 44 , GRN -2019205000398  ,   Sun Board</t>
  </si>
  <si>
    <t>BILL NO. 92 LED BOARD PURCHASED</t>
  </si>
  <si>
    <t>Bill no 53 , GRN -2019205000445 ,  Sunboard</t>
  </si>
  <si>
    <t>Bill no 71 , Sund board</t>
  </si>
  <si>
    <t>BILL NO 86</t>
  </si>
  <si>
    <t>being sun board plate purchased for advertisement bill no. 88</t>
  </si>
  <si>
    <t>BILL NO 106</t>
  </si>
  <si>
    <t>flex banner, sunboard plate bill no. 112</t>
  </si>
  <si>
    <t>sign board (standee 6*3) bill no. 117</t>
  </si>
  <si>
    <t>radium sign and iron angel bill no. 124</t>
  </si>
  <si>
    <t>sign board</t>
  </si>
  <si>
    <t>2020-21</t>
  </si>
  <si>
    <t>Neuro surgery microscope accessories bill no. 193</t>
  </si>
  <si>
    <t>plant &amp; machinery</t>
  </si>
  <si>
    <t>jacobson diamond dusted micro line round, micro coronar diamond duster micro line round bill  (instrument for cardic department ) bill no. 0001</t>
  </si>
  <si>
    <t>being OT ceiling LED operating lamp purchased</t>
  </si>
  <si>
    <t>being Syringe pump purchased bill no. 2180</t>
  </si>
  <si>
    <t>PHYSIOTHERAPY EQUIPMEMENTS (SHORTWAVE DIATHERMY, ULTRASOUND THERAPY, TENS 4 CHANNEL, MUSCLE SIMULATORS, MASSAGE THRIVE BILL NO. 140</t>
  </si>
  <si>
    <t>vascular D/Forcep, Plain forcep, needle holder, etc bill no. 207</t>
  </si>
  <si>
    <t>Lahey right angle forcep, URS Byprong, Pcnl alligator, disecting forceps bill no. 209</t>
  </si>
  <si>
    <t>expiratory cassete for maquet servo s  ventilator new bill no. 206749</t>
  </si>
  <si>
    <t>sternotomie retractoe bill no. 115</t>
  </si>
  <si>
    <t>Cooper Pipe, cooper elbow, cooper reducer copper soclet bill no. 19143</t>
  </si>
  <si>
    <t xml:space="preserve">Suction machine 1 qty </t>
  </si>
  <si>
    <t>2021-22</t>
  </si>
  <si>
    <t>phillips Switched adult internal paddles</t>
  </si>
  <si>
    <t xml:space="preserve">Semi Fowler beds Diamond range 10 qty </t>
  </si>
  <si>
    <t xml:space="preserve">bed side collapsible railing </t>
  </si>
  <si>
    <t>Being Ultrasonic surgical handpiece Bill no 1490</t>
  </si>
  <si>
    <t>UPS and batteries purchased</t>
  </si>
  <si>
    <t>Being invertor battery purchased for City OPD</t>
  </si>
  <si>
    <t>being mobile samsung guru purchased bill no 80</t>
  </si>
  <si>
    <t>Being nokia phone  105 single sim pink Bill no 007</t>
  </si>
  <si>
    <t>being mobile phone nokia bill no 706</t>
  </si>
  <si>
    <t>Being jio 4phone bill no 110011</t>
  </si>
  <si>
    <t>exhaust fan, flap for exhaust fan, tube rod 36 watt bill no. 506</t>
  </si>
  <si>
    <t>Wall fan orient billn o 3796</t>
  </si>
  <si>
    <t>Hitachi AC Bill no 3223058</t>
  </si>
  <si>
    <t>Being LED Purchase Bill no 1010</t>
  </si>
  <si>
    <t>Being Camera IP 3MP Dome Cat Cable bill no 623</t>
  </si>
  <si>
    <t>Camera</t>
  </si>
  <si>
    <t>being redium , ss pipe,iron angel bill no. 40</t>
  </si>
  <si>
    <t>redium sign bill no. 58</t>
  </si>
  <si>
    <t>being radium sign , sun board etc. purchased bill no. 65</t>
  </si>
  <si>
    <t>being sun board,vinyl cut pasting etc. purchased bill no. 66</t>
  </si>
  <si>
    <t>being purchase sun board bill no 85</t>
  </si>
  <si>
    <t>flex banner bill no. 94</t>
  </si>
  <si>
    <t>Being RO Water Purifier 18Ltr Bill no 761</t>
  </si>
  <si>
    <t>Misc Fixed Asset</t>
  </si>
  <si>
    <t>Being Web Chair Bill no 145</t>
  </si>
  <si>
    <t>Battery Endoscopic Light Ssl-2054Be</t>
  </si>
  <si>
    <t>2022-23</t>
  </si>
  <si>
    <t>Led Tv 32 Smart</t>
  </si>
  <si>
    <t>Y-Strainer5", Y-Strainer 6", Butterfly Valve Dia 8" With Gear, Butterfly Valve 6",  Chw Pumps Verticle Inline 360Gpm, Chw Pumps Verticle Inline 600Gpm, Ball Valve With Nipple Dia 15Mm, Pressure Guage With Syphon Assy, Thermo</t>
  </si>
  <si>
    <t>Kithcen Food Trolley</t>
  </si>
  <si>
    <t>Mobile Phone Samsung F22 4/64</t>
  </si>
  <si>
    <t xml:space="preserve">Mobile Nokia 105 </t>
  </si>
  <si>
    <t>Ms Pipe C Class 150Mm, Cable 240Mm, Cable 2.5Mm, Ss Sprinkler For Ct</t>
  </si>
  <si>
    <t>Samsung Mobile A12 6+128</t>
  </si>
  <si>
    <t>Blue Star Screw Chiller Of Capacity 150Otr Model No. Lcw150V060707</t>
  </si>
  <si>
    <t>Butter Fly Valve, Non Butterfly Valve, Balancing Valve, Etc For Ac Plant</t>
  </si>
  <si>
    <t>Cooling Tower Cap</t>
  </si>
  <si>
    <t>Ms Pipe C Class 150Mm, Ms Pipe C Class 125Mm</t>
  </si>
  <si>
    <t>Sealing Machine</t>
  </si>
  <si>
    <t>2 Pcs Outlet Point Air Tran To Ivy Amrt Agt Nrgp No. 188/2.8.22</t>
  </si>
  <si>
    <t>Crash Cart Transfer From Nws To Asr (Pkl Material-2 Qty)</t>
  </si>
  <si>
    <t>5 Pera Mms Module - Philips</t>
  </si>
  <si>
    <t>Being purchases Redmi 9A sport 2+32GB agst billno. 154108</t>
  </si>
  <si>
    <t>Being purchases mobile redmi 10A 4+64GB agst billno. 9643</t>
  </si>
  <si>
    <t>BEING NET PACK RECHARGE FOR THE PERIOD FROM04.12.2023 TO 03.01.2023 WIDE BILL:- AMR/22-23/828</t>
  </si>
  <si>
    <t>BIOMETRIC MACHINE &amp; ITS ACCESORIES</t>
  </si>
  <si>
    <t>Being Patinet beds (12 Pcs) transfer to Nawasher Unit Ref. NRGP No. 113</t>
  </si>
  <si>
    <t>EXIDE BATTERIES 32 pcs</t>
  </si>
  <si>
    <t>IRON RACK 6 QTY</t>
  </si>
  <si>
    <t>LOCKER 15 EACH ALMIRAH 4 QTY</t>
  </si>
  <si>
    <t>Being iron almirah with shelves agst billno. 100</t>
  </si>
  <si>
    <t>Telephone set beetel</t>
  </si>
  <si>
    <t xml:space="preserve">CAMERA IP 2MP </t>
  </si>
  <si>
    <t>2023-24</t>
  </si>
  <si>
    <t>CAMERA 5X ZOOM ,2MP ,POE MODEL PTZ MAKE ;DAHU AGAINST BILL NO 0267</t>
  </si>
  <si>
    <t>ELECTRIC MOTOR</t>
  </si>
  <si>
    <t xml:space="preserve">FIRE SPRINKLERS, SPRINKLER FOR HYDRANT, HOSE REEL DRUM, MOSULAR ABC 5KG, SMOKE DETECTOR, HOSE PIPE 15MTR </t>
  </si>
  <si>
    <t>SMOKE DETECTOR, MODULAR ABC 5KG</t>
  </si>
  <si>
    <t xml:space="preserve">HOSE PIPE 15MTR WITH MALE FEMALE COUPLING , SMOKE DETECTOR, DPRINKLER FOR HYDRANT SYSTEMS </t>
  </si>
  <si>
    <t xml:space="preserve">FIRE EXTINGUISHER FMS 500ML, SPRINKLER FOR HYDRANT SYSTEM AND SMOKE DETECTOR </t>
  </si>
  <si>
    <t>LCD</t>
  </si>
  <si>
    <t xml:space="preserve">OVEN </t>
  </si>
  <si>
    <t>Microwave Oven</t>
  </si>
  <si>
    <t>EVO PLAYER-2GB,LG SIGNAGE DISPLAY, PREMIUM VINAYL AND LOGO PRINTING FOR DIGITAL STANDEE ETC. PURCHASED BILL NO. 1389</t>
  </si>
  <si>
    <t>OT light Ceiling LED Double Dome</t>
  </si>
  <si>
    <t xml:space="preserve">BIO SAFETY CABINET CLASS II TYPE </t>
  </si>
  <si>
    <t>BEING PUR FOR AIR COMPRESSOR LUBRICATED WITH 7.5 H.P MOTOR MAKE ;AIRTECH AGAINST BILL NO 130</t>
  </si>
  <si>
    <t>BEING PUR FOR BIPOLAR FOOTSWITCH DOUBLE STANDARD UNIVERSAL ACTIVE ADAPTOR VALLEYLA ETC AGAINST BILL NO 072</t>
  </si>
  <si>
    <t>BEING PUR FOR HOOK SCISSOR SINGLE ACTION DIA 5MM LENGTH 30 CM WITH FIBER HANDLE PLAIN ETC AGAINST BILL NO 235</t>
  </si>
  <si>
    <t>BEING PUR FOR DEISEL TANK STEEL (MILD)SZ 1.0X1.0 X1.0 MTR SHEET THICKNESS 4 MM AGAINST BILL NO 264</t>
  </si>
  <si>
    <t>BEING TMT MACHINE VEGA 204 12 LEAD MAKE:RMS PUR. BILL NO. 0127</t>
  </si>
  <si>
    <t xml:space="preserve">VOLTAS 550 LTR REFIGERATOR </t>
  </si>
  <si>
    <t>MOBILE PHONE SAMSUNG GALAXY MO4 (4GB,64GB) AGAINST BILL NO 4245</t>
  </si>
  <si>
    <t>TELEPHONE SET BEETAL AGAINST BILL NO 2170</t>
  </si>
  <si>
    <t xml:space="preserve">TELEPHONE SET BEETEL </t>
  </si>
  <si>
    <t xml:space="preserve">MOBILE SAMSUNG GALAXY M04 (4GB/64GB) </t>
  </si>
  <si>
    <t xml:space="preserve">MOBILE SAMSUNG GALAXY M04 4/64GB </t>
  </si>
  <si>
    <t>BATTERY  12 V 18 AH (EXIDE) AGAINST BILL NO 44604</t>
  </si>
  <si>
    <t xml:space="preserve">POWER CORD, SMPS, TELEPHONE SET BEETAL </t>
  </si>
  <si>
    <t>Telephone A/c</t>
  </si>
  <si>
    <t>PRINTER LASERJET HP M126 NW</t>
  </si>
  <si>
    <t>Printer</t>
  </si>
  <si>
    <t>BATTERY 12V 7.2AH</t>
  </si>
  <si>
    <t xml:space="preserve">Wheel Chair </t>
  </si>
  <si>
    <t xml:space="preserve"> RETRACTOR RACK MICS, THORACOTOMY BLADE LONG STD, THORACOTOMY BLADE LONG DEEP, THORACOTOMY BLADE SHORT </t>
  </si>
  <si>
    <t>Hospital Equipmet</t>
  </si>
  <si>
    <t xml:space="preserve"> C-ARM HF-59 PLUS</t>
  </si>
  <si>
    <t xml:space="preserve">MEDICAL GRADE SURGICAL MONITOR FHD FOR LAPROSCOPE STORZ </t>
  </si>
  <si>
    <t xml:space="preserve">PATIENT MONITOR DISPLAY(G30 E) AND PATIENT MONITOR DISPLAY CM-10 </t>
  </si>
  <si>
    <t xml:space="preserve">PHILIPS MMS MODULE 5 PERA </t>
  </si>
  <si>
    <t xml:space="preserve">LARYNGOSCOPE PEDIATRIC </t>
  </si>
  <si>
    <t>EHT -600 BARIATRIC ELECTRO HYDRROLIC OT TABLE ETC</t>
  </si>
  <si>
    <t>NANAK SURGICAL ENTERPRISES-1MRP-271</t>
  </si>
  <si>
    <t>SUNSHINE MEDITEC SOUTIONS-1MRP-1768</t>
  </si>
  <si>
    <t>FUJI FILM INDIA PVT LTD.-1MRP-598</t>
  </si>
  <si>
    <t xml:space="preserve">LED SURGICAL HEAD LIGHT </t>
  </si>
  <si>
    <t>BLANKET FOR TCM MACHINE WITH RECIRCULATION TUBING</t>
  </si>
  <si>
    <t>X-RAY CASSETTE 2QTY</t>
  </si>
  <si>
    <t xml:space="preserve">KIRLOSKAR NON CLOG SELF PRIMING PUMPSET </t>
  </si>
  <si>
    <t>BEING PUR FOR DENHART MOUTH GAG 12.5CM ETC AGAINST BILL NO JSK/2023-24/0348</t>
  </si>
  <si>
    <t>BEING X RAY MACHINE MARS 30 DIGIX ECOPLUS ASSURE VERSION -9 ALLENGERS PUR AGAINST BILL NO 15359</t>
  </si>
  <si>
    <t>SPRINKLER FOR HYDRANT SYSTEM AND SMOKE DETECTOR AGAINST BILL NO GST/24-25/101 DT 04-10-2024</t>
  </si>
  <si>
    <t>2024-25</t>
  </si>
  <si>
    <t>REFRIGERATOR SAMSUNG 183L SINGLE DOOR</t>
  </si>
  <si>
    <t>Kitchen Equipments</t>
  </si>
  <si>
    <t>PUR FOR BATTERY 12 V 35 AH AGAINST BILL NO 2024-25/7030 DT 28-08--2024</t>
  </si>
  <si>
    <t>Battery &amp; Inverters</t>
  </si>
  <si>
    <t>PUR FOR BATTERY 6V 3.3AH AGAINST BILL NO GST-128 DT 05-10-2024</t>
  </si>
  <si>
    <t xml:space="preserve">BATTERY 12 V 26 AH (EXIDE) AND BATTERY 12V 150A </t>
  </si>
  <si>
    <t xml:space="preserve">SAMSUNG MOBILE PHONE A05(4GB) </t>
  </si>
  <si>
    <t>Telephone/Mobile</t>
  </si>
  <si>
    <t>SPLIT AC-2 TON, 3 STAR NON-INVERTER VOLTAS</t>
  </si>
  <si>
    <t>A.C./Fan and Allied</t>
  </si>
  <si>
    <t>WALL FAN 16'' OWF-3117 (ORPAT)</t>
  </si>
  <si>
    <t>ORPAT FAN (3 PIECE) ,ORIENT SMART AIR 150MM 6'' (4 PIECE), FLY KILLER TUBE RODS ETC</t>
  </si>
  <si>
    <t>EXHAUST FAN 12'' IRON BODY ORIENT</t>
  </si>
  <si>
    <t>BEING PUR FOR EXHAUST FAN 6'',MODULAR SHEET 8X3 PENTA ETC AGAINST BILL NO UEC/24-25/004709 DT 06-09-2024</t>
  </si>
  <si>
    <t>BEING PUR FOR EXHAUST FAN 12'' IRON BODY ORIENT AGAINST BILL NO UEC/24-25/005002 DT 17-09-2024</t>
  </si>
  <si>
    <t>WALL FAN 16'' OWF -3117(ORPAT) AGAINST BILL NO UEC/24-25/006040 DT 26/12/2024</t>
  </si>
  <si>
    <t xml:space="preserve">WXHAUST FAN ,LED TUBE FITTING ETC </t>
  </si>
  <si>
    <t>LED TV 43'' MODEL:BE43 ATRQ, MAKE-SAMSUNG</t>
  </si>
  <si>
    <t>LED PANEL LIGHT SQUARE 2X2X36 WATT</t>
  </si>
  <si>
    <t xml:space="preserve">LED PANEL LIGHT SQUERE 2X2 36WATT(HAVELLS) (QTY 8) </t>
  </si>
  <si>
    <t>BEING PUR FOR LED PANNEL LIGHT SQUARE 2X2 36 WATT AGAINST BILL NO 06-09-2024</t>
  </si>
  <si>
    <t>BEING PUR FOR LED TUBE FITTING 20W (8QTY) AGAINST BILL NO UEC/24-25/005038 DT 18-09-2024</t>
  </si>
  <si>
    <t>PUR FOR LED FLOOD LOGHT 50W</t>
  </si>
  <si>
    <t xml:space="preserve">LED PANNEL LIGHT SQUARE </t>
  </si>
  <si>
    <t xml:space="preserve">LED PANEL LIGHT SQUARE 2X2 36 WATT </t>
  </si>
  <si>
    <t xml:space="preserve">LED PANEL LIGHT SQUARE 2X2X36 WATT </t>
  </si>
  <si>
    <t>VENTILATOR BATTERIES</t>
  </si>
  <si>
    <t>BATTERY 12V NICKLE METAL RECHARGABLE (6487180)</t>
  </si>
  <si>
    <t>PRE FILTER 610X305X50MM TYPE BOX,BAG FILTER 610X610X305MM</t>
  </si>
  <si>
    <t xml:space="preserve">1 COLLER </t>
  </si>
  <si>
    <t>BILLING MACHINE CAFE</t>
  </si>
  <si>
    <t>HEAD LIGHT WITH BATTERY</t>
  </si>
  <si>
    <t>PUR FOR STEEL AIR CURTAIN ,SENSOR INDUSTRIAL AIR CURTAIN, ETC AGAINST BILL NO EIPL24-25/177946 DT 16-08-2024</t>
  </si>
  <si>
    <t xml:space="preserve">LIGHTING ARRESTOR WITH ALL MATERIAL RADIUS 79 MTRS OLP214 </t>
  </si>
  <si>
    <t>THOMPSON RETRACTOR</t>
  </si>
  <si>
    <t xml:space="preserve">DRILL MACHINE BOSH GSB 600 </t>
  </si>
  <si>
    <t>VRF AHU INSTALLATION CHARGES</t>
  </si>
  <si>
    <t>VRF INSTALLATION CHARGES(AHU)</t>
  </si>
  <si>
    <t xml:space="preserve">VRF INSTALLATION CHARGES(AHU) </t>
  </si>
  <si>
    <t>CAMERA IP 2 MP (ADHUA)AUDIO AND VIDEO RECORDER ,ADAPTER</t>
  </si>
  <si>
    <t>CAMERA IP 2 MP (ADHUA)AUDIO AND VIDEO</t>
  </si>
  <si>
    <t>PUR FOR MEMORY CARD 128GB PTZ CAMERA AGAINST BILL NO GST-1316 DT 15-10-2024</t>
  </si>
  <si>
    <t>PUR FOR CAT 6E CABLE ROLL 3054 MTR D -LINK ,IR DOME CAMERA IP 4 MP  (QTY 2) AGAINST BILL NO GST-1327 DT 16-10-2024</t>
  </si>
  <si>
    <t>PUR FOR MEMORY CARD128 GB PTZ CAMERA,WIFE ROUTER EXTENDER,CAMERA AGAINST BILL NO GST-1309 DT 14-10-2024</t>
  </si>
  <si>
    <t xml:space="preserve">NVR 16 CH 2 MP </t>
  </si>
  <si>
    <t xml:space="preserve">CAMERA IP 2MP DOME (4 QTY) </t>
  </si>
  <si>
    <t>CAMERA ,BATTERY ETC</t>
  </si>
  <si>
    <t>WATER COOLER</t>
  </si>
  <si>
    <t xml:space="preserve">TELEPHONE SET BEETEL M-51,TELEPHONE JUNCTION BOX </t>
  </si>
  <si>
    <t>VIVO Y181 (WITH ADAPTER) PUR. BILL NO. 2020 (FOR FO)</t>
  </si>
  <si>
    <t>ROSEN SUCTION,EAR SPECULLUM,NASAL SPECULUM THUDICUM SET OF 3 ETC</t>
  </si>
  <si>
    <t>NEURO SUCTION MACHINE PENUMBRA ENGINE WITH CANISTER MAKE ;PENUMBRA</t>
  </si>
  <si>
    <t>DEBAKEY VASCULAR CLAMP ATRUMA 17 CM</t>
  </si>
  <si>
    <t>BP APPARATUS DIGITAL MODEL</t>
  </si>
  <si>
    <t>THERAPEUTIC PLASMA EXCHANGE</t>
  </si>
  <si>
    <t>ECG 5 LEAD WIRE CABLE,NIBP CUFF ADULT</t>
  </si>
  <si>
    <t>MICROBAYONET FORCEPS 8''MAKE HEBSON</t>
  </si>
  <si>
    <t>KIDNET TREY 8'' PLASTIC</t>
  </si>
  <si>
    <t>CRASH CART ALL SS RANGE DELUXE</t>
  </si>
  <si>
    <t xml:space="preserve">NEBULIZER </t>
  </si>
  <si>
    <t>KIDNEY TRY ,ARTERY FORCER</t>
  </si>
  <si>
    <t>INTRUMENT TRAY</t>
  </si>
  <si>
    <t>STEEL BOWL SMALL,VEIN STRIPPER</t>
  </si>
  <si>
    <t>MONITOR N.TOUCH5 PARA DUAL IBP(ECG,SPO2,NBP) ,SYRING PUMP TOUCH SCREEN BENEFUSION USP</t>
  </si>
  <si>
    <t>Patient BED SV2 Custom ICU as Series 4 Motor</t>
  </si>
  <si>
    <t>INSTRUMENT TROLLY 73X34X43</t>
  </si>
  <si>
    <t>BED SIDE UNIT MODEL :KW2H MAKE :SEWA ETC</t>
  </si>
  <si>
    <t>TEE PROB6TC-RS (WIPRO)(H45551ZE)</t>
  </si>
  <si>
    <t xml:space="preserve">APHEESIS COM.TEC(S-5L) AND THERAPEUTIC PLASMA EXCHANGE </t>
  </si>
  <si>
    <t>BP CUFF INFANT ,ECG CABLE 5LEAD ETC</t>
  </si>
  <si>
    <t xml:space="preserve">BED SIDE LOCKER AX1016C MAKE ANTECA,,OVER BED TABLE </t>
  </si>
  <si>
    <t xml:space="preserve">CARDIAC OUTPUT CABLE M1642A </t>
  </si>
  <si>
    <t>BOWIE DICK TEST (PACK )</t>
  </si>
  <si>
    <t>CLIP APPLICATOR 3 IN 1 AGAINST BILL NO 704 DT 13-07-2024</t>
  </si>
  <si>
    <t>PUR FOR HTC THERMO HYGROMETER WITH PROB ETC AGAINST BILL NO GST-90 DT 25-07-2024</t>
  </si>
  <si>
    <t>PUR FOR SILICON HEAD REST WITH EYE PRESSURE RELIEF AGAINST BILL NO TI/24-25/969 DT 18-07-2024</t>
  </si>
  <si>
    <t>KERRISON ROUNGER 2MM ANGGED ,PROCTOSCOPE (LARGE AND MEDIUM) AGAINST BILL NO 716 DT 30-07-2024</t>
  </si>
  <si>
    <t>LED PHOTOTHERAPY BILISMART MAKE : VNG AGAINST BILL NO 24 DT 03-08-2024</t>
  </si>
  <si>
    <t>BABY WARMER -RADIANT HEAT</t>
  </si>
  <si>
    <t>PATIENT MONITOR UMEC10 (QTY 4)</t>
  </si>
  <si>
    <t>EMG OCTOPUS 4 CHANNEL WITH TROLLY,BATTERY AND ARM (CLARITY)</t>
  </si>
  <si>
    <t>FETAL DOPPLER BPL FD01,PORTABLE HAND HELD AND FETAL MONITOR CTG FM-10B  (QTY 1)</t>
  </si>
  <si>
    <t xml:space="preserve">ECHOCARDIOGRAM SYSTEM MODEL :-AFFINITI 50 AMKE -PHILIPS MEDICAL SYSTEM </t>
  </si>
  <si>
    <t>PUR FOR TEMPERATURE PROBE MONTIOR MX550 AGAINST BILL NO GST-106 DT 27-08-2024</t>
  </si>
  <si>
    <t>PUR FOR AMPUL CUTTER (QTY 10) AND TABLET CUTTER (QTY 10) AGAINST BILL NO 24-25-4929 DT 03-09-2024</t>
  </si>
  <si>
    <t>BILL REC AGAINST PUR FOR SUPER ENDO SUPER GOLD FLEX ROTARY FILES S1 21MM 00125 ETC BILL NO FNG/2024/551424</t>
  </si>
  <si>
    <t>PUR FOR X RAY VIEW BOX (LED ) DOUBLE SIDE  AGAINST BILL NO 24-25-5317 DT 14-09-2024</t>
  </si>
  <si>
    <t>PUR FOR APHERESIS COM.TEC AGAINST BILL NO GR68 DT 26-09-2024</t>
  </si>
  <si>
    <t>APHERESIS COM.TEC (S-5L) AGAINST BILL NO GR75 DT 15-10-2024</t>
  </si>
  <si>
    <t>ERBA CHEM-7BIO CHEMISTRY ANALYZER (1QTY) AGAINST BILL NO 1934 DT 07-10-2024</t>
  </si>
  <si>
    <t>EMERGENCY TROLLEY PK 80318 WITH X-RAY COMPATIBLE</t>
  </si>
  <si>
    <t xml:space="preserve">ECG HOLTER 3 CHANNEL WITH RECORDER &amp; SOFTWARE </t>
  </si>
  <si>
    <t>ETCO2 MODULE</t>
  </si>
  <si>
    <t xml:space="preserve">MANMAN CRANIOTOME ANCHOR WITH CAP </t>
  </si>
  <si>
    <t xml:space="preserve">SWING MACHINE  (SABITA) UMBRELLA WITH MOTOR </t>
  </si>
  <si>
    <t xml:space="preserve">HALF BODY CPR MANIKIN WITH LIGHTS </t>
  </si>
  <si>
    <t xml:space="preserve">ORIENT ROOM HEATER 2 ROD </t>
  </si>
  <si>
    <t>As at Year end</t>
  </si>
  <si>
    <t>Useful Life (months)</t>
  </si>
  <si>
    <t>opening Depreciation</t>
  </si>
  <si>
    <t>Closing Depreciation</t>
  </si>
  <si>
    <t>Monthly Depreciation'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</si>
</sst>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409]dd\-mmm\-yy;@"/>
    <numFmt numFmtId="165" formatCode="_(* #,##0.00_);_(* \(#,##0.00\);_(* &quot;-&quot;??_);_(@_)"/>
    <numFmt numFmtId="166" formatCode="_(* #,##0_);_(* \(#,##0\);_(* &quot;-&quot;??_);_(@_)"/>
  </numFmts>
  <fonts count="8" x14ac:knownFonts="1">
    <font>
      <sz val="11"/>
      <color theme="1"/>
      <name val="Aptos Narrow"/>
      <family val="2"/>
      <scheme val="minor"/>
    </font>
    <font>
      <sz val="11"/>
      <color theme="1"/>
      <name val="Aptos Narrow"/>
      <family val="2"/>
      <scheme val="minor"/>
    </font>
    <font>
      <sz val="10"/>
      <color theme="1"/>
      <name val="Garamond"/>
      <family val="1"/>
    </font>
    <font>
      <b/>
      <sz val="10"/>
      <color theme="1"/>
      <name val="Garamond"/>
      <family val="1"/>
    </font>
    <font>
      <b/>
      <sz val="10"/>
      <name val="Garamond"/>
      <family val="1"/>
    </font>
    <font>
      <sz val="10"/>
      <name val="Garamond"/>
      <family val="1"/>
    </font>
    <font>
      <sz val="11"/>
      <color theme="1"/>
      <name val="Garamond"/>
      <family val="1"/>
    </font>
    <font>
      <b/>
      <sz val="11"/>
      <color theme="1"/>
      <name val="Garamond"/>
      <family val="1"/>
    </font>
  </fonts>
  <fills count="4">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s>
  <borders count="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auto="1"/>
      </left>
      <right style="thin">
        <color auto="1"/>
      </right>
      <top style="thin">
        <color auto="1"/>
      </top>
      <bottom style="thin">
        <color auto="1"/>
      </bottom>
      <diagonal/>
    </border>
  </borders>
  <cellStyleXfs count="3">
    <xf numFmtId="0" fontId="0" fillId="0" borderId="0"/>
    <xf numFmtId="165" fontId="1" fillId="0" borderId="0" applyFont="0" applyFill="0" applyBorder="0" applyAlignment="0" applyProtection="0"/>
    <xf numFmtId="43" fontId="1" fillId="0" borderId="0" applyFont="0" applyFill="0" applyBorder="0" applyAlignment="0" applyProtection="0"/>
  </cellStyleXfs>
  <cellXfs count="57">
    <xf numFmtId="0" fontId="0" fillId="0" borderId="0" xfId="0"/>
    <xf numFmtId="0" fontId="2" fillId="0" borderId="0" xfId="0" applyFont="1" applyAlignment="1">
      <alignment horizontal="center" vertical="center"/>
    </xf>
    <xf numFmtId="0" fontId="2" fillId="0" borderId="0" xfId="0" applyFont="1" applyAlignment="1">
      <alignment vertical="center"/>
    </xf>
    <xf numFmtId="164" fontId="2" fillId="0" borderId="0" xfId="0" applyNumberFormat="1" applyFont="1" applyAlignment="1">
      <alignment horizontal="center" vertical="center"/>
    </xf>
    <xf numFmtId="166" fontId="2" fillId="0" borderId="0" xfId="1" applyNumberFormat="1" applyFont="1" applyAlignment="1">
      <alignment vertical="center"/>
    </xf>
    <xf numFmtId="164" fontId="3" fillId="2" borderId="2" xfId="0" applyNumberFormat="1" applyFont="1" applyFill="1" applyBorder="1" applyAlignment="1">
      <alignment horizontal="center" vertical="center" wrapText="1"/>
    </xf>
    <xf numFmtId="9" fontId="3" fillId="2" borderId="2" xfId="1" applyNumberFormat="1" applyFont="1" applyFill="1" applyBorder="1" applyAlignment="1">
      <alignment horizontal="center" vertical="center" wrapText="1"/>
    </xf>
    <xf numFmtId="0" fontId="3" fillId="0" borderId="0" xfId="0" applyFont="1" applyAlignment="1">
      <alignment horizontal="center" vertical="center" wrapText="1"/>
    </xf>
    <xf numFmtId="1" fontId="2" fillId="0" borderId="0" xfId="0" applyNumberFormat="1" applyFont="1" applyAlignment="1">
      <alignment vertical="center"/>
    </xf>
    <xf numFmtId="166" fontId="5" fillId="0" borderId="0" xfId="1" applyNumberFormat="1" applyFont="1" applyFill="1" applyBorder="1" applyAlignment="1">
      <alignment vertical="center"/>
    </xf>
    <xf numFmtId="166" fontId="2" fillId="0" borderId="0" xfId="0" applyNumberFormat="1" applyFont="1" applyAlignment="1">
      <alignment vertical="center"/>
    </xf>
    <xf numFmtId="0" fontId="2" fillId="2" borderId="0" xfId="0" applyFont="1" applyFill="1" applyAlignment="1">
      <alignment vertical="center"/>
    </xf>
    <xf numFmtId="0" fontId="2" fillId="2" borderId="0" xfId="0" applyFont="1" applyFill="1" applyAlignment="1">
      <alignment horizontal="center" vertical="center"/>
    </xf>
    <xf numFmtId="164" fontId="2" fillId="2" borderId="0" xfId="0" applyNumberFormat="1" applyFont="1" applyFill="1" applyAlignment="1">
      <alignment horizontal="center" vertical="center"/>
    </xf>
    <xf numFmtId="166" fontId="2" fillId="2" borderId="0" xfId="1" applyNumberFormat="1" applyFont="1" applyFill="1" applyAlignment="1">
      <alignment vertical="center"/>
    </xf>
    <xf numFmtId="166" fontId="2" fillId="0" borderId="0" xfId="1" applyNumberFormat="1" applyFont="1" applyFill="1" applyAlignment="1">
      <alignment vertical="center"/>
    </xf>
    <xf numFmtId="0" fontId="2" fillId="0" borderId="0" xfId="0" applyFont="1" applyAlignment="1">
      <alignment horizontal="left" vertical="center"/>
    </xf>
    <xf numFmtId="0" fontId="2" fillId="0" borderId="0" xfId="0" applyFont="1" applyAlignment="1">
      <alignment vertical="center" wrapText="1"/>
    </xf>
    <xf numFmtId="14" fontId="2" fillId="0" borderId="0" xfId="0" applyNumberFormat="1" applyFont="1" applyAlignment="1">
      <alignment horizontal="right" vertical="top"/>
    </xf>
    <xf numFmtId="49" fontId="2" fillId="0" borderId="0" xfId="0" applyNumberFormat="1" applyFont="1" applyAlignment="1">
      <alignment horizontal="left" vertical="top" indent="2"/>
    </xf>
    <xf numFmtId="49" fontId="2" fillId="0" borderId="0" xfId="0" applyNumberFormat="1" applyFont="1" applyAlignment="1">
      <alignment vertical="top"/>
    </xf>
    <xf numFmtId="49" fontId="2" fillId="0" borderId="0" xfId="0" applyNumberFormat="1" applyFont="1" applyAlignment="1">
      <alignment horizontal="left" vertical="top"/>
    </xf>
    <xf numFmtId="14" fontId="2" fillId="0" borderId="0" xfId="0" applyNumberFormat="1" applyFont="1" applyAlignment="1">
      <alignment vertical="top"/>
    </xf>
    <xf numFmtId="166" fontId="2" fillId="0" borderId="0" xfId="1" applyNumberFormat="1" applyFont="1" applyAlignment="1"/>
    <xf numFmtId="0" fontId="2" fillId="0" borderId="0" xfId="0" applyFont="1"/>
    <xf numFmtId="49" fontId="3" fillId="0" borderId="0" xfId="0" applyNumberFormat="1" applyFont="1" applyAlignment="1">
      <alignment vertical="top"/>
    </xf>
    <xf numFmtId="0" fontId="3" fillId="0" borderId="0" xfId="0" applyFont="1" applyAlignment="1">
      <alignment vertical="center"/>
    </xf>
    <xf numFmtId="14" fontId="3" fillId="0" borderId="0" xfId="0" applyNumberFormat="1" applyFont="1" applyAlignment="1">
      <alignment horizontal="right" vertical="top"/>
    </xf>
    <xf numFmtId="166" fontId="3" fillId="0" borderId="0" xfId="1" applyNumberFormat="1" applyFont="1" applyAlignment="1">
      <alignment vertical="center"/>
    </xf>
    <xf numFmtId="166" fontId="3" fillId="0" borderId="0" xfId="1" applyNumberFormat="1" applyFont="1" applyFill="1" applyAlignment="1">
      <alignment vertical="center"/>
    </xf>
    <xf numFmtId="166" fontId="3" fillId="0" borderId="0" xfId="1" applyNumberFormat="1" applyFont="1" applyAlignment="1"/>
    <xf numFmtId="0" fontId="3" fillId="0" borderId="0" xfId="0" applyFont="1"/>
    <xf numFmtId="0" fontId="3" fillId="0" borderId="0" xfId="0" applyFont="1" applyAlignment="1">
      <alignment horizontal="center" vertical="center"/>
    </xf>
    <xf numFmtId="49" fontId="3" fillId="0" borderId="0" xfId="0" applyNumberFormat="1" applyFont="1" applyAlignment="1">
      <alignment horizontal="left" vertical="top"/>
    </xf>
    <xf numFmtId="166" fontId="3" fillId="0" borderId="0" xfId="0" applyNumberFormat="1" applyFont="1" applyAlignment="1">
      <alignment vertical="center"/>
    </xf>
    <xf numFmtId="0" fontId="3" fillId="2" borderId="0" xfId="0" applyFont="1" applyFill="1" applyAlignment="1">
      <alignment horizontal="center" vertical="center"/>
    </xf>
    <xf numFmtId="49" fontId="2" fillId="2" borderId="0" xfId="0" applyNumberFormat="1" applyFont="1" applyFill="1" applyAlignment="1">
      <alignment horizontal="left" vertical="top"/>
    </xf>
    <xf numFmtId="49" fontId="2" fillId="2" borderId="0" xfId="0" applyNumberFormat="1" applyFont="1" applyFill="1" applyAlignment="1">
      <alignment vertical="top"/>
    </xf>
    <xf numFmtId="14" fontId="2" fillId="2" borderId="0" xfId="0" applyNumberFormat="1" applyFont="1" applyFill="1" applyAlignment="1">
      <alignment horizontal="right" vertical="top"/>
    </xf>
    <xf numFmtId="166" fontId="3" fillId="2" borderId="0" xfId="1" applyNumberFormat="1" applyFont="1" applyFill="1" applyAlignment="1">
      <alignment vertical="center"/>
    </xf>
    <xf numFmtId="166" fontId="2" fillId="2" borderId="0" xfId="0" applyNumberFormat="1" applyFont="1" applyFill="1" applyAlignment="1">
      <alignment vertical="center"/>
    </xf>
    <xf numFmtId="0" fontId="0" fillId="0" borderId="3" xfId="0" applyBorder="1"/>
    <xf numFmtId="49" fontId="6" fillId="0" borderId="0" xfId="0" applyNumberFormat="1" applyFont="1" applyAlignment="1">
      <alignment horizontal="left" vertical="top" indent="2"/>
    </xf>
    <xf numFmtId="0" fontId="6" fillId="0" borderId="0" xfId="0" applyFont="1" applyAlignment="1">
      <alignment horizontal="center" vertical="center"/>
    </xf>
    <xf numFmtId="14" fontId="6" fillId="0" borderId="0" xfId="0" applyNumberFormat="1" applyFont="1" applyAlignment="1">
      <alignment horizontal="right" vertical="top"/>
    </xf>
    <xf numFmtId="0" fontId="7" fillId="0" borderId="0" xfId="0" applyFont="1"/>
    <xf numFmtId="0" fontId="7" fillId="0" borderId="0" xfId="0" applyFont="1" applyAlignment="1">
      <alignment vertical="center"/>
    </xf>
    <xf numFmtId="14" fontId="7" fillId="0" borderId="0" xfId="0" applyNumberFormat="1" applyFont="1" applyAlignment="1">
      <alignment vertical="top"/>
    </xf>
    <xf numFmtId="14" fontId="0" fillId="0" borderId="3" xfId="0" applyNumberFormat="1" applyBorder="1"/>
    <xf numFmtId="14" fontId="0" fillId="0" borderId="0" xfId="0" applyNumberFormat="1"/>
    <xf numFmtId="0" fontId="3"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164" fontId="3" fillId="3" borderId="2" xfId="0" applyNumberFormat="1" applyFont="1" applyFill="1" applyBorder="1" applyAlignment="1">
      <alignment horizontal="center" vertical="center" wrapText="1"/>
    </xf>
    <xf numFmtId="166" fontId="3" fillId="3" borderId="2" xfId="1"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166" fontId="3" fillId="2" borderId="2" xfId="1" applyNumberFormat="1" applyFont="1" applyFill="1" applyBorder="1" applyAlignment="1">
      <alignment horizontal="center" vertical="center" wrapText="1"/>
    </xf>
  </cellXfs>
  <cellStyles count="3">
    <cellStyle name="Comma" xfId="1" builtinId="3"/>
    <cellStyle name="Comma 2" xfId="2" xr:uid="{BEE91F22-818F-4EF6-9CAE-CC2BBDED96F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F15D0-30A5-495E-B408-0DA83C5CA11D}">
  <dimension ref="A1:Q688"/>
  <sheetViews>
    <sheetView tabSelected="1" topLeftCell="G1" zoomScale="90" zoomScaleNormal="90" workbookViewId="0">
      <pane ySplit="1" topLeftCell="A7" activePane="bottomLeft" state="frozen"/>
      <selection activeCell="AE903" sqref="AE903"/>
      <selection pane="bottomLeft" activeCell="L12" sqref="L12"/>
    </sheetView>
  </sheetViews>
  <sheetFormatPr defaultRowHeight="13.2" x14ac:dyDescent="0.3"/>
  <cols>
    <col min="1" max="1" width="7.6640625" style="1" customWidth="1"/>
    <col min="2" max="2" width="30.6640625" style="2" customWidth="1"/>
    <col min="3" max="3" width="13" style="1" customWidth="1"/>
    <col min="4" max="4" width="24.33203125" style="2" customWidth="1"/>
    <col min="5" max="6" width="14.33203125" style="3" customWidth="1"/>
    <col min="7" max="7" width="12.6640625" style="4" customWidth="1"/>
    <col min="8" max="8" width="15.6640625" style="2" bestFit="1" customWidth="1"/>
    <col min="9" max="9" width="14" style="2" customWidth="1"/>
    <col min="10" max="10" width="14.33203125" style="3" customWidth="1"/>
    <col min="11" max="11" width="12.6640625" style="4" customWidth="1"/>
    <col min="12" max="12" width="11.6640625" style="2" customWidth="1"/>
    <col min="13" max="14" width="11.44140625" style="2" customWidth="1"/>
    <col min="15" max="15" width="14.33203125" style="2" bestFit="1" customWidth="1"/>
    <col min="16" max="16" width="15.33203125" style="4" customWidth="1"/>
    <col min="17" max="247" width="9.109375" style="2"/>
    <col min="248" max="248" width="5.6640625" style="2" customWidth="1"/>
    <col min="249" max="249" width="35.6640625" style="2" customWidth="1"/>
    <col min="250" max="250" width="16.33203125" style="2" customWidth="1"/>
    <col min="251" max="251" width="32.44140625" style="2" customWidth="1"/>
    <col min="252" max="252" width="10.5546875" style="2" customWidth="1"/>
    <col min="253" max="253" width="13" style="2" customWidth="1"/>
    <col min="254" max="254" width="24.33203125" style="2" customWidth="1"/>
    <col min="255" max="255" width="14.33203125" style="2" customWidth="1"/>
    <col min="256" max="259" width="12.6640625" style="2" customWidth="1"/>
    <col min="260" max="260" width="12.5546875" style="2" customWidth="1"/>
    <col min="261" max="261" width="10.33203125" style="2" customWidth="1"/>
    <col min="262" max="262" width="13.6640625" style="2" customWidth="1"/>
    <col min="263" max="263" width="14" style="2" customWidth="1"/>
    <col min="264" max="264" width="12.5546875" style="2" customWidth="1"/>
    <col min="265" max="265" width="13.44140625" style="2" customWidth="1"/>
    <col min="266" max="266" width="12.44140625" style="2" customWidth="1"/>
    <col min="267" max="267" width="9.109375" style="2"/>
    <col min="268" max="268" width="12" style="2" bestFit="1" customWidth="1"/>
    <col min="269" max="269" width="11.44140625" style="2" customWidth="1"/>
    <col min="270" max="270" width="14.33203125" style="2" bestFit="1" customWidth="1"/>
    <col min="271" max="271" width="9.109375" style="2"/>
    <col min="272" max="272" width="10.33203125" style="2" bestFit="1" customWidth="1"/>
    <col min="273" max="503" width="9.109375" style="2"/>
    <col min="504" max="504" width="5.6640625" style="2" customWidth="1"/>
    <col min="505" max="505" width="35.6640625" style="2" customWidth="1"/>
    <col min="506" max="506" width="16.33203125" style="2" customWidth="1"/>
    <col min="507" max="507" width="32.44140625" style="2" customWidth="1"/>
    <col min="508" max="508" width="10.5546875" style="2" customWidth="1"/>
    <col min="509" max="509" width="13" style="2" customWidth="1"/>
    <col min="510" max="510" width="24.33203125" style="2" customWidth="1"/>
    <col min="511" max="511" width="14.33203125" style="2" customWidth="1"/>
    <col min="512" max="515" width="12.6640625" style="2" customWidth="1"/>
    <col min="516" max="516" width="12.5546875" style="2" customWidth="1"/>
    <col min="517" max="517" width="10.33203125" style="2" customWidth="1"/>
    <col min="518" max="518" width="13.6640625" style="2" customWidth="1"/>
    <col min="519" max="519" width="14" style="2" customWidth="1"/>
    <col min="520" max="520" width="12.5546875" style="2" customWidth="1"/>
    <col min="521" max="521" width="13.44140625" style="2" customWidth="1"/>
    <col min="522" max="522" width="12.44140625" style="2" customWidth="1"/>
    <col min="523" max="523" width="9.109375" style="2"/>
    <col min="524" max="524" width="12" style="2" bestFit="1" customWidth="1"/>
    <col min="525" max="525" width="11.44140625" style="2" customWidth="1"/>
    <col min="526" max="526" width="14.33203125" style="2" bestFit="1" customWidth="1"/>
    <col min="527" max="527" width="9.109375" style="2"/>
    <col min="528" max="528" width="10.33203125" style="2" bestFit="1" customWidth="1"/>
    <col min="529" max="759" width="9.109375" style="2"/>
    <col min="760" max="760" width="5.6640625" style="2" customWidth="1"/>
    <col min="761" max="761" width="35.6640625" style="2" customWidth="1"/>
    <col min="762" max="762" width="16.33203125" style="2" customWidth="1"/>
    <col min="763" max="763" width="32.44140625" style="2" customWidth="1"/>
    <col min="764" max="764" width="10.5546875" style="2" customWidth="1"/>
    <col min="765" max="765" width="13" style="2" customWidth="1"/>
    <col min="766" max="766" width="24.33203125" style="2" customWidth="1"/>
    <col min="767" max="767" width="14.33203125" style="2" customWidth="1"/>
    <col min="768" max="771" width="12.6640625" style="2" customWidth="1"/>
    <col min="772" max="772" width="12.5546875" style="2" customWidth="1"/>
    <col min="773" max="773" width="10.33203125" style="2" customWidth="1"/>
    <col min="774" max="774" width="13.6640625" style="2" customWidth="1"/>
    <col min="775" max="775" width="14" style="2" customWidth="1"/>
    <col min="776" max="776" width="12.5546875" style="2" customWidth="1"/>
    <col min="777" max="777" width="13.44140625" style="2" customWidth="1"/>
    <col min="778" max="778" width="12.44140625" style="2" customWidth="1"/>
    <col min="779" max="779" width="9.109375" style="2"/>
    <col min="780" max="780" width="12" style="2" bestFit="1" customWidth="1"/>
    <col min="781" max="781" width="11.44140625" style="2" customWidth="1"/>
    <col min="782" max="782" width="14.33203125" style="2" bestFit="1" customWidth="1"/>
    <col min="783" max="783" width="9.109375" style="2"/>
    <col min="784" max="784" width="10.33203125" style="2" bestFit="1" customWidth="1"/>
    <col min="785" max="1015" width="9.109375" style="2"/>
    <col min="1016" max="1016" width="5.6640625" style="2" customWidth="1"/>
    <col min="1017" max="1017" width="35.6640625" style="2" customWidth="1"/>
    <col min="1018" max="1018" width="16.33203125" style="2" customWidth="1"/>
    <col min="1019" max="1019" width="32.44140625" style="2" customWidth="1"/>
    <col min="1020" max="1020" width="10.5546875" style="2" customWidth="1"/>
    <col min="1021" max="1021" width="13" style="2" customWidth="1"/>
    <col min="1022" max="1022" width="24.33203125" style="2" customWidth="1"/>
    <col min="1023" max="1023" width="14.33203125" style="2" customWidth="1"/>
    <col min="1024" max="1027" width="12.6640625" style="2" customWidth="1"/>
    <col min="1028" max="1028" width="12.5546875" style="2" customWidth="1"/>
    <col min="1029" max="1029" width="10.33203125" style="2" customWidth="1"/>
    <col min="1030" max="1030" width="13.6640625" style="2" customWidth="1"/>
    <col min="1031" max="1031" width="14" style="2" customWidth="1"/>
    <col min="1032" max="1032" width="12.5546875" style="2" customWidth="1"/>
    <col min="1033" max="1033" width="13.44140625" style="2" customWidth="1"/>
    <col min="1034" max="1034" width="12.44140625" style="2" customWidth="1"/>
    <col min="1035" max="1035" width="9.109375" style="2"/>
    <col min="1036" max="1036" width="12" style="2" bestFit="1" customWidth="1"/>
    <col min="1037" max="1037" width="11.44140625" style="2" customWidth="1"/>
    <col min="1038" max="1038" width="14.33203125" style="2" bestFit="1" customWidth="1"/>
    <col min="1039" max="1039" width="9.109375" style="2"/>
    <col min="1040" max="1040" width="10.33203125" style="2" bestFit="1" customWidth="1"/>
    <col min="1041" max="1271" width="9.109375" style="2"/>
    <col min="1272" max="1272" width="5.6640625" style="2" customWidth="1"/>
    <col min="1273" max="1273" width="35.6640625" style="2" customWidth="1"/>
    <col min="1274" max="1274" width="16.33203125" style="2" customWidth="1"/>
    <col min="1275" max="1275" width="32.44140625" style="2" customWidth="1"/>
    <col min="1276" max="1276" width="10.5546875" style="2" customWidth="1"/>
    <col min="1277" max="1277" width="13" style="2" customWidth="1"/>
    <col min="1278" max="1278" width="24.33203125" style="2" customWidth="1"/>
    <col min="1279" max="1279" width="14.33203125" style="2" customWidth="1"/>
    <col min="1280" max="1283" width="12.6640625" style="2" customWidth="1"/>
    <col min="1284" max="1284" width="12.5546875" style="2" customWidth="1"/>
    <col min="1285" max="1285" width="10.33203125" style="2" customWidth="1"/>
    <col min="1286" max="1286" width="13.6640625" style="2" customWidth="1"/>
    <col min="1287" max="1287" width="14" style="2" customWidth="1"/>
    <col min="1288" max="1288" width="12.5546875" style="2" customWidth="1"/>
    <col min="1289" max="1289" width="13.44140625" style="2" customWidth="1"/>
    <col min="1290" max="1290" width="12.44140625" style="2" customWidth="1"/>
    <col min="1291" max="1291" width="9.109375" style="2"/>
    <col min="1292" max="1292" width="12" style="2" bestFit="1" customWidth="1"/>
    <col min="1293" max="1293" width="11.44140625" style="2" customWidth="1"/>
    <col min="1294" max="1294" width="14.33203125" style="2" bestFit="1" customWidth="1"/>
    <col min="1295" max="1295" width="9.109375" style="2"/>
    <col min="1296" max="1296" width="10.33203125" style="2" bestFit="1" customWidth="1"/>
    <col min="1297" max="1527" width="9.109375" style="2"/>
    <col min="1528" max="1528" width="5.6640625" style="2" customWidth="1"/>
    <col min="1529" max="1529" width="35.6640625" style="2" customWidth="1"/>
    <col min="1530" max="1530" width="16.33203125" style="2" customWidth="1"/>
    <col min="1531" max="1531" width="32.44140625" style="2" customWidth="1"/>
    <col min="1532" max="1532" width="10.5546875" style="2" customWidth="1"/>
    <col min="1533" max="1533" width="13" style="2" customWidth="1"/>
    <col min="1534" max="1534" width="24.33203125" style="2" customWidth="1"/>
    <col min="1535" max="1535" width="14.33203125" style="2" customWidth="1"/>
    <col min="1536" max="1539" width="12.6640625" style="2" customWidth="1"/>
    <col min="1540" max="1540" width="12.5546875" style="2" customWidth="1"/>
    <col min="1541" max="1541" width="10.33203125" style="2" customWidth="1"/>
    <col min="1542" max="1542" width="13.6640625" style="2" customWidth="1"/>
    <col min="1543" max="1543" width="14" style="2" customWidth="1"/>
    <col min="1544" max="1544" width="12.5546875" style="2" customWidth="1"/>
    <col min="1545" max="1545" width="13.44140625" style="2" customWidth="1"/>
    <col min="1546" max="1546" width="12.44140625" style="2" customWidth="1"/>
    <col min="1547" max="1547" width="9.109375" style="2"/>
    <col min="1548" max="1548" width="12" style="2" bestFit="1" customWidth="1"/>
    <col min="1549" max="1549" width="11.44140625" style="2" customWidth="1"/>
    <col min="1550" max="1550" width="14.33203125" style="2" bestFit="1" customWidth="1"/>
    <col min="1551" max="1551" width="9.109375" style="2"/>
    <col min="1552" max="1552" width="10.33203125" style="2" bestFit="1" customWidth="1"/>
    <col min="1553" max="1783" width="9.109375" style="2"/>
    <col min="1784" max="1784" width="5.6640625" style="2" customWidth="1"/>
    <col min="1785" max="1785" width="35.6640625" style="2" customWidth="1"/>
    <col min="1786" max="1786" width="16.33203125" style="2" customWidth="1"/>
    <col min="1787" max="1787" width="32.44140625" style="2" customWidth="1"/>
    <col min="1788" max="1788" width="10.5546875" style="2" customWidth="1"/>
    <col min="1789" max="1789" width="13" style="2" customWidth="1"/>
    <col min="1790" max="1790" width="24.33203125" style="2" customWidth="1"/>
    <col min="1791" max="1791" width="14.33203125" style="2" customWidth="1"/>
    <col min="1792" max="1795" width="12.6640625" style="2" customWidth="1"/>
    <col min="1796" max="1796" width="12.5546875" style="2" customWidth="1"/>
    <col min="1797" max="1797" width="10.33203125" style="2" customWidth="1"/>
    <col min="1798" max="1798" width="13.6640625" style="2" customWidth="1"/>
    <col min="1799" max="1799" width="14" style="2" customWidth="1"/>
    <col min="1800" max="1800" width="12.5546875" style="2" customWidth="1"/>
    <col min="1801" max="1801" width="13.44140625" style="2" customWidth="1"/>
    <col min="1802" max="1802" width="12.44140625" style="2" customWidth="1"/>
    <col min="1803" max="1803" width="9.109375" style="2"/>
    <col min="1804" max="1804" width="12" style="2" bestFit="1" customWidth="1"/>
    <col min="1805" max="1805" width="11.44140625" style="2" customWidth="1"/>
    <col min="1806" max="1806" width="14.33203125" style="2" bestFit="1" customWidth="1"/>
    <col min="1807" max="1807" width="9.109375" style="2"/>
    <col min="1808" max="1808" width="10.33203125" style="2" bestFit="1" customWidth="1"/>
    <col min="1809" max="2039" width="9.109375" style="2"/>
    <col min="2040" max="2040" width="5.6640625" style="2" customWidth="1"/>
    <col min="2041" max="2041" width="35.6640625" style="2" customWidth="1"/>
    <col min="2042" max="2042" width="16.33203125" style="2" customWidth="1"/>
    <col min="2043" max="2043" width="32.44140625" style="2" customWidth="1"/>
    <col min="2044" max="2044" width="10.5546875" style="2" customWidth="1"/>
    <col min="2045" max="2045" width="13" style="2" customWidth="1"/>
    <col min="2046" max="2046" width="24.33203125" style="2" customWidth="1"/>
    <col min="2047" max="2047" width="14.33203125" style="2" customWidth="1"/>
    <col min="2048" max="2051" width="12.6640625" style="2" customWidth="1"/>
    <col min="2052" max="2052" width="12.5546875" style="2" customWidth="1"/>
    <col min="2053" max="2053" width="10.33203125" style="2" customWidth="1"/>
    <col min="2054" max="2054" width="13.6640625" style="2" customWidth="1"/>
    <col min="2055" max="2055" width="14" style="2" customWidth="1"/>
    <col min="2056" max="2056" width="12.5546875" style="2" customWidth="1"/>
    <col min="2057" max="2057" width="13.44140625" style="2" customWidth="1"/>
    <col min="2058" max="2058" width="12.44140625" style="2" customWidth="1"/>
    <col min="2059" max="2059" width="9.109375" style="2"/>
    <col min="2060" max="2060" width="12" style="2" bestFit="1" customWidth="1"/>
    <col min="2061" max="2061" width="11.44140625" style="2" customWidth="1"/>
    <col min="2062" max="2062" width="14.33203125" style="2" bestFit="1" customWidth="1"/>
    <col min="2063" max="2063" width="9.109375" style="2"/>
    <col min="2064" max="2064" width="10.33203125" style="2" bestFit="1" customWidth="1"/>
    <col min="2065" max="2295" width="9.109375" style="2"/>
    <col min="2296" max="2296" width="5.6640625" style="2" customWidth="1"/>
    <col min="2297" max="2297" width="35.6640625" style="2" customWidth="1"/>
    <col min="2298" max="2298" width="16.33203125" style="2" customWidth="1"/>
    <col min="2299" max="2299" width="32.44140625" style="2" customWidth="1"/>
    <col min="2300" max="2300" width="10.5546875" style="2" customWidth="1"/>
    <col min="2301" max="2301" width="13" style="2" customWidth="1"/>
    <col min="2302" max="2302" width="24.33203125" style="2" customWidth="1"/>
    <col min="2303" max="2303" width="14.33203125" style="2" customWidth="1"/>
    <col min="2304" max="2307" width="12.6640625" style="2" customWidth="1"/>
    <col min="2308" max="2308" width="12.5546875" style="2" customWidth="1"/>
    <col min="2309" max="2309" width="10.33203125" style="2" customWidth="1"/>
    <col min="2310" max="2310" width="13.6640625" style="2" customWidth="1"/>
    <col min="2311" max="2311" width="14" style="2" customWidth="1"/>
    <col min="2312" max="2312" width="12.5546875" style="2" customWidth="1"/>
    <col min="2313" max="2313" width="13.44140625" style="2" customWidth="1"/>
    <col min="2314" max="2314" width="12.44140625" style="2" customWidth="1"/>
    <col min="2315" max="2315" width="9.109375" style="2"/>
    <col min="2316" max="2316" width="12" style="2" bestFit="1" customWidth="1"/>
    <col min="2317" max="2317" width="11.44140625" style="2" customWidth="1"/>
    <col min="2318" max="2318" width="14.33203125" style="2" bestFit="1" customWidth="1"/>
    <col min="2319" max="2319" width="9.109375" style="2"/>
    <col min="2320" max="2320" width="10.33203125" style="2" bestFit="1" customWidth="1"/>
    <col min="2321" max="2551" width="9.109375" style="2"/>
    <col min="2552" max="2552" width="5.6640625" style="2" customWidth="1"/>
    <col min="2553" max="2553" width="35.6640625" style="2" customWidth="1"/>
    <col min="2554" max="2554" width="16.33203125" style="2" customWidth="1"/>
    <col min="2555" max="2555" width="32.44140625" style="2" customWidth="1"/>
    <col min="2556" max="2556" width="10.5546875" style="2" customWidth="1"/>
    <col min="2557" max="2557" width="13" style="2" customWidth="1"/>
    <col min="2558" max="2558" width="24.33203125" style="2" customWidth="1"/>
    <col min="2559" max="2559" width="14.33203125" style="2" customWidth="1"/>
    <col min="2560" max="2563" width="12.6640625" style="2" customWidth="1"/>
    <col min="2564" max="2564" width="12.5546875" style="2" customWidth="1"/>
    <col min="2565" max="2565" width="10.33203125" style="2" customWidth="1"/>
    <col min="2566" max="2566" width="13.6640625" style="2" customWidth="1"/>
    <col min="2567" max="2567" width="14" style="2" customWidth="1"/>
    <col min="2568" max="2568" width="12.5546875" style="2" customWidth="1"/>
    <col min="2569" max="2569" width="13.44140625" style="2" customWidth="1"/>
    <col min="2570" max="2570" width="12.44140625" style="2" customWidth="1"/>
    <col min="2571" max="2571" width="9.109375" style="2"/>
    <col min="2572" max="2572" width="12" style="2" bestFit="1" customWidth="1"/>
    <col min="2573" max="2573" width="11.44140625" style="2" customWidth="1"/>
    <col min="2574" max="2574" width="14.33203125" style="2" bestFit="1" customWidth="1"/>
    <col min="2575" max="2575" width="9.109375" style="2"/>
    <col min="2576" max="2576" width="10.33203125" style="2" bestFit="1" customWidth="1"/>
    <col min="2577" max="2807" width="9.109375" style="2"/>
    <col min="2808" max="2808" width="5.6640625" style="2" customWidth="1"/>
    <col min="2809" max="2809" width="35.6640625" style="2" customWidth="1"/>
    <col min="2810" max="2810" width="16.33203125" style="2" customWidth="1"/>
    <col min="2811" max="2811" width="32.44140625" style="2" customWidth="1"/>
    <col min="2812" max="2812" width="10.5546875" style="2" customWidth="1"/>
    <col min="2813" max="2813" width="13" style="2" customWidth="1"/>
    <col min="2814" max="2814" width="24.33203125" style="2" customWidth="1"/>
    <col min="2815" max="2815" width="14.33203125" style="2" customWidth="1"/>
    <col min="2816" max="2819" width="12.6640625" style="2" customWidth="1"/>
    <col min="2820" max="2820" width="12.5546875" style="2" customWidth="1"/>
    <col min="2821" max="2821" width="10.33203125" style="2" customWidth="1"/>
    <col min="2822" max="2822" width="13.6640625" style="2" customWidth="1"/>
    <col min="2823" max="2823" width="14" style="2" customWidth="1"/>
    <col min="2824" max="2824" width="12.5546875" style="2" customWidth="1"/>
    <col min="2825" max="2825" width="13.44140625" style="2" customWidth="1"/>
    <col min="2826" max="2826" width="12.44140625" style="2" customWidth="1"/>
    <col min="2827" max="2827" width="9.109375" style="2"/>
    <col min="2828" max="2828" width="12" style="2" bestFit="1" customWidth="1"/>
    <col min="2829" max="2829" width="11.44140625" style="2" customWidth="1"/>
    <col min="2830" max="2830" width="14.33203125" style="2" bestFit="1" customWidth="1"/>
    <col min="2831" max="2831" width="9.109375" style="2"/>
    <col min="2832" max="2832" width="10.33203125" style="2" bestFit="1" customWidth="1"/>
    <col min="2833" max="3063" width="9.109375" style="2"/>
    <col min="3064" max="3064" width="5.6640625" style="2" customWidth="1"/>
    <col min="3065" max="3065" width="35.6640625" style="2" customWidth="1"/>
    <col min="3066" max="3066" width="16.33203125" style="2" customWidth="1"/>
    <col min="3067" max="3067" width="32.44140625" style="2" customWidth="1"/>
    <col min="3068" max="3068" width="10.5546875" style="2" customWidth="1"/>
    <col min="3069" max="3069" width="13" style="2" customWidth="1"/>
    <col min="3070" max="3070" width="24.33203125" style="2" customWidth="1"/>
    <col min="3071" max="3071" width="14.33203125" style="2" customWidth="1"/>
    <col min="3072" max="3075" width="12.6640625" style="2" customWidth="1"/>
    <col min="3076" max="3076" width="12.5546875" style="2" customWidth="1"/>
    <col min="3077" max="3077" width="10.33203125" style="2" customWidth="1"/>
    <col min="3078" max="3078" width="13.6640625" style="2" customWidth="1"/>
    <col min="3079" max="3079" width="14" style="2" customWidth="1"/>
    <col min="3080" max="3080" width="12.5546875" style="2" customWidth="1"/>
    <col min="3081" max="3081" width="13.44140625" style="2" customWidth="1"/>
    <col min="3082" max="3082" width="12.44140625" style="2" customWidth="1"/>
    <col min="3083" max="3083" width="9.109375" style="2"/>
    <col min="3084" max="3084" width="12" style="2" bestFit="1" customWidth="1"/>
    <col min="3085" max="3085" width="11.44140625" style="2" customWidth="1"/>
    <col min="3086" max="3086" width="14.33203125" style="2" bestFit="1" customWidth="1"/>
    <col min="3087" max="3087" width="9.109375" style="2"/>
    <col min="3088" max="3088" width="10.33203125" style="2" bestFit="1" customWidth="1"/>
    <col min="3089" max="3319" width="9.109375" style="2"/>
    <col min="3320" max="3320" width="5.6640625" style="2" customWidth="1"/>
    <col min="3321" max="3321" width="35.6640625" style="2" customWidth="1"/>
    <col min="3322" max="3322" width="16.33203125" style="2" customWidth="1"/>
    <col min="3323" max="3323" width="32.44140625" style="2" customWidth="1"/>
    <col min="3324" max="3324" width="10.5546875" style="2" customWidth="1"/>
    <col min="3325" max="3325" width="13" style="2" customWidth="1"/>
    <col min="3326" max="3326" width="24.33203125" style="2" customWidth="1"/>
    <col min="3327" max="3327" width="14.33203125" style="2" customWidth="1"/>
    <col min="3328" max="3331" width="12.6640625" style="2" customWidth="1"/>
    <col min="3332" max="3332" width="12.5546875" style="2" customWidth="1"/>
    <col min="3333" max="3333" width="10.33203125" style="2" customWidth="1"/>
    <col min="3334" max="3334" width="13.6640625" style="2" customWidth="1"/>
    <col min="3335" max="3335" width="14" style="2" customWidth="1"/>
    <col min="3336" max="3336" width="12.5546875" style="2" customWidth="1"/>
    <col min="3337" max="3337" width="13.44140625" style="2" customWidth="1"/>
    <col min="3338" max="3338" width="12.44140625" style="2" customWidth="1"/>
    <col min="3339" max="3339" width="9.109375" style="2"/>
    <col min="3340" max="3340" width="12" style="2" bestFit="1" customWidth="1"/>
    <col min="3341" max="3341" width="11.44140625" style="2" customWidth="1"/>
    <col min="3342" max="3342" width="14.33203125" style="2" bestFit="1" customWidth="1"/>
    <col min="3343" max="3343" width="9.109375" style="2"/>
    <col min="3344" max="3344" width="10.33203125" style="2" bestFit="1" customWidth="1"/>
    <col min="3345" max="3575" width="9.109375" style="2"/>
    <col min="3576" max="3576" width="5.6640625" style="2" customWidth="1"/>
    <col min="3577" max="3577" width="35.6640625" style="2" customWidth="1"/>
    <col min="3578" max="3578" width="16.33203125" style="2" customWidth="1"/>
    <col min="3579" max="3579" width="32.44140625" style="2" customWidth="1"/>
    <col min="3580" max="3580" width="10.5546875" style="2" customWidth="1"/>
    <col min="3581" max="3581" width="13" style="2" customWidth="1"/>
    <col min="3582" max="3582" width="24.33203125" style="2" customWidth="1"/>
    <col min="3583" max="3583" width="14.33203125" style="2" customWidth="1"/>
    <col min="3584" max="3587" width="12.6640625" style="2" customWidth="1"/>
    <col min="3588" max="3588" width="12.5546875" style="2" customWidth="1"/>
    <col min="3589" max="3589" width="10.33203125" style="2" customWidth="1"/>
    <col min="3590" max="3590" width="13.6640625" style="2" customWidth="1"/>
    <col min="3591" max="3591" width="14" style="2" customWidth="1"/>
    <col min="3592" max="3592" width="12.5546875" style="2" customWidth="1"/>
    <col min="3593" max="3593" width="13.44140625" style="2" customWidth="1"/>
    <col min="3594" max="3594" width="12.44140625" style="2" customWidth="1"/>
    <col min="3595" max="3595" width="9.109375" style="2"/>
    <col min="3596" max="3596" width="12" style="2" bestFit="1" customWidth="1"/>
    <col min="3597" max="3597" width="11.44140625" style="2" customWidth="1"/>
    <col min="3598" max="3598" width="14.33203125" style="2" bestFit="1" customWidth="1"/>
    <col min="3599" max="3599" width="9.109375" style="2"/>
    <col min="3600" max="3600" width="10.33203125" style="2" bestFit="1" customWidth="1"/>
    <col min="3601" max="3831" width="9.109375" style="2"/>
    <col min="3832" max="3832" width="5.6640625" style="2" customWidth="1"/>
    <col min="3833" max="3833" width="35.6640625" style="2" customWidth="1"/>
    <col min="3834" max="3834" width="16.33203125" style="2" customWidth="1"/>
    <col min="3835" max="3835" width="32.44140625" style="2" customWidth="1"/>
    <col min="3836" max="3836" width="10.5546875" style="2" customWidth="1"/>
    <col min="3837" max="3837" width="13" style="2" customWidth="1"/>
    <col min="3838" max="3838" width="24.33203125" style="2" customWidth="1"/>
    <col min="3839" max="3839" width="14.33203125" style="2" customWidth="1"/>
    <col min="3840" max="3843" width="12.6640625" style="2" customWidth="1"/>
    <col min="3844" max="3844" width="12.5546875" style="2" customWidth="1"/>
    <col min="3845" max="3845" width="10.33203125" style="2" customWidth="1"/>
    <col min="3846" max="3846" width="13.6640625" style="2" customWidth="1"/>
    <col min="3847" max="3847" width="14" style="2" customWidth="1"/>
    <col min="3848" max="3848" width="12.5546875" style="2" customWidth="1"/>
    <col min="3849" max="3849" width="13.44140625" style="2" customWidth="1"/>
    <col min="3850" max="3850" width="12.44140625" style="2" customWidth="1"/>
    <col min="3851" max="3851" width="9.109375" style="2"/>
    <col min="3852" max="3852" width="12" style="2" bestFit="1" customWidth="1"/>
    <col min="3853" max="3853" width="11.44140625" style="2" customWidth="1"/>
    <col min="3854" max="3854" width="14.33203125" style="2" bestFit="1" customWidth="1"/>
    <col min="3855" max="3855" width="9.109375" style="2"/>
    <col min="3856" max="3856" width="10.33203125" style="2" bestFit="1" customWidth="1"/>
    <col min="3857" max="4087" width="9.109375" style="2"/>
    <col min="4088" max="4088" width="5.6640625" style="2" customWidth="1"/>
    <col min="4089" max="4089" width="35.6640625" style="2" customWidth="1"/>
    <col min="4090" max="4090" width="16.33203125" style="2" customWidth="1"/>
    <col min="4091" max="4091" width="32.44140625" style="2" customWidth="1"/>
    <col min="4092" max="4092" width="10.5546875" style="2" customWidth="1"/>
    <col min="4093" max="4093" width="13" style="2" customWidth="1"/>
    <col min="4094" max="4094" width="24.33203125" style="2" customWidth="1"/>
    <col min="4095" max="4095" width="14.33203125" style="2" customWidth="1"/>
    <col min="4096" max="4099" width="12.6640625" style="2" customWidth="1"/>
    <col min="4100" max="4100" width="12.5546875" style="2" customWidth="1"/>
    <col min="4101" max="4101" width="10.33203125" style="2" customWidth="1"/>
    <col min="4102" max="4102" width="13.6640625" style="2" customWidth="1"/>
    <col min="4103" max="4103" width="14" style="2" customWidth="1"/>
    <col min="4104" max="4104" width="12.5546875" style="2" customWidth="1"/>
    <col min="4105" max="4105" width="13.44140625" style="2" customWidth="1"/>
    <col min="4106" max="4106" width="12.44140625" style="2" customWidth="1"/>
    <col min="4107" max="4107" width="9.109375" style="2"/>
    <col min="4108" max="4108" width="12" style="2" bestFit="1" customWidth="1"/>
    <col min="4109" max="4109" width="11.44140625" style="2" customWidth="1"/>
    <col min="4110" max="4110" width="14.33203125" style="2" bestFit="1" customWidth="1"/>
    <col min="4111" max="4111" width="9.109375" style="2"/>
    <col min="4112" max="4112" width="10.33203125" style="2" bestFit="1" customWidth="1"/>
    <col min="4113" max="4343" width="9.109375" style="2"/>
    <col min="4344" max="4344" width="5.6640625" style="2" customWidth="1"/>
    <col min="4345" max="4345" width="35.6640625" style="2" customWidth="1"/>
    <col min="4346" max="4346" width="16.33203125" style="2" customWidth="1"/>
    <col min="4347" max="4347" width="32.44140625" style="2" customWidth="1"/>
    <col min="4348" max="4348" width="10.5546875" style="2" customWidth="1"/>
    <col min="4349" max="4349" width="13" style="2" customWidth="1"/>
    <col min="4350" max="4350" width="24.33203125" style="2" customWidth="1"/>
    <col min="4351" max="4351" width="14.33203125" style="2" customWidth="1"/>
    <col min="4352" max="4355" width="12.6640625" style="2" customWidth="1"/>
    <col min="4356" max="4356" width="12.5546875" style="2" customWidth="1"/>
    <col min="4357" max="4357" width="10.33203125" style="2" customWidth="1"/>
    <col min="4358" max="4358" width="13.6640625" style="2" customWidth="1"/>
    <col min="4359" max="4359" width="14" style="2" customWidth="1"/>
    <col min="4360" max="4360" width="12.5546875" style="2" customWidth="1"/>
    <col min="4361" max="4361" width="13.44140625" style="2" customWidth="1"/>
    <col min="4362" max="4362" width="12.44140625" style="2" customWidth="1"/>
    <col min="4363" max="4363" width="9.109375" style="2"/>
    <col min="4364" max="4364" width="12" style="2" bestFit="1" customWidth="1"/>
    <col min="4365" max="4365" width="11.44140625" style="2" customWidth="1"/>
    <col min="4366" max="4366" width="14.33203125" style="2" bestFit="1" customWidth="1"/>
    <col min="4367" max="4367" width="9.109375" style="2"/>
    <col min="4368" max="4368" width="10.33203125" style="2" bestFit="1" customWidth="1"/>
    <col min="4369" max="4599" width="9.109375" style="2"/>
    <col min="4600" max="4600" width="5.6640625" style="2" customWidth="1"/>
    <col min="4601" max="4601" width="35.6640625" style="2" customWidth="1"/>
    <col min="4602" max="4602" width="16.33203125" style="2" customWidth="1"/>
    <col min="4603" max="4603" width="32.44140625" style="2" customWidth="1"/>
    <col min="4604" max="4604" width="10.5546875" style="2" customWidth="1"/>
    <col min="4605" max="4605" width="13" style="2" customWidth="1"/>
    <col min="4606" max="4606" width="24.33203125" style="2" customWidth="1"/>
    <col min="4607" max="4607" width="14.33203125" style="2" customWidth="1"/>
    <col min="4608" max="4611" width="12.6640625" style="2" customWidth="1"/>
    <col min="4612" max="4612" width="12.5546875" style="2" customWidth="1"/>
    <col min="4613" max="4613" width="10.33203125" style="2" customWidth="1"/>
    <col min="4614" max="4614" width="13.6640625" style="2" customWidth="1"/>
    <col min="4615" max="4615" width="14" style="2" customWidth="1"/>
    <col min="4616" max="4616" width="12.5546875" style="2" customWidth="1"/>
    <col min="4617" max="4617" width="13.44140625" style="2" customWidth="1"/>
    <col min="4618" max="4618" width="12.44140625" style="2" customWidth="1"/>
    <col min="4619" max="4619" width="9.109375" style="2"/>
    <col min="4620" max="4620" width="12" style="2" bestFit="1" customWidth="1"/>
    <col min="4621" max="4621" width="11.44140625" style="2" customWidth="1"/>
    <col min="4622" max="4622" width="14.33203125" style="2" bestFit="1" customWidth="1"/>
    <col min="4623" max="4623" width="9.109375" style="2"/>
    <col min="4624" max="4624" width="10.33203125" style="2" bestFit="1" customWidth="1"/>
    <col min="4625" max="4855" width="9.109375" style="2"/>
    <col min="4856" max="4856" width="5.6640625" style="2" customWidth="1"/>
    <col min="4857" max="4857" width="35.6640625" style="2" customWidth="1"/>
    <col min="4858" max="4858" width="16.33203125" style="2" customWidth="1"/>
    <col min="4859" max="4859" width="32.44140625" style="2" customWidth="1"/>
    <col min="4860" max="4860" width="10.5546875" style="2" customWidth="1"/>
    <col min="4861" max="4861" width="13" style="2" customWidth="1"/>
    <col min="4862" max="4862" width="24.33203125" style="2" customWidth="1"/>
    <col min="4863" max="4863" width="14.33203125" style="2" customWidth="1"/>
    <col min="4864" max="4867" width="12.6640625" style="2" customWidth="1"/>
    <col min="4868" max="4868" width="12.5546875" style="2" customWidth="1"/>
    <col min="4869" max="4869" width="10.33203125" style="2" customWidth="1"/>
    <col min="4870" max="4870" width="13.6640625" style="2" customWidth="1"/>
    <col min="4871" max="4871" width="14" style="2" customWidth="1"/>
    <col min="4872" max="4872" width="12.5546875" style="2" customWidth="1"/>
    <col min="4873" max="4873" width="13.44140625" style="2" customWidth="1"/>
    <col min="4874" max="4874" width="12.44140625" style="2" customWidth="1"/>
    <col min="4875" max="4875" width="9.109375" style="2"/>
    <col min="4876" max="4876" width="12" style="2" bestFit="1" customWidth="1"/>
    <col min="4877" max="4877" width="11.44140625" style="2" customWidth="1"/>
    <col min="4878" max="4878" width="14.33203125" style="2" bestFit="1" customWidth="1"/>
    <col min="4879" max="4879" width="9.109375" style="2"/>
    <col min="4880" max="4880" width="10.33203125" style="2" bestFit="1" customWidth="1"/>
    <col min="4881" max="5111" width="9.109375" style="2"/>
    <col min="5112" max="5112" width="5.6640625" style="2" customWidth="1"/>
    <col min="5113" max="5113" width="35.6640625" style="2" customWidth="1"/>
    <col min="5114" max="5114" width="16.33203125" style="2" customWidth="1"/>
    <col min="5115" max="5115" width="32.44140625" style="2" customWidth="1"/>
    <col min="5116" max="5116" width="10.5546875" style="2" customWidth="1"/>
    <col min="5117" max="5117" width="13" style="2" customWidth="1"/>
    <col min="5118" max="5118" width="24.33203125" style="2" customWidth="1"/>
    <col min="5119" max="5119" width="14.33203125" style="2" customWidth="1"/>
    <col min="5120" max="5123" width="12.6640625" style="2" customWidth="1"/>
    <col min="5124" max="5124" width="12.5546875" style="2" customWidth="1"/>
    <col min="5125" max="5125" width="10.33203125" style="2" customWidth="1"/>
    <col min="5126" max="5126" width="13.6640625" style="2" customWidth="1"/>
    <col min="5127" max="5127" width="14" style="2" customWidth="1"/>
    <col min="5128" max="5128" width="12.5546875" style="2" customWidth="1"/>
    <col min="5129" max="5129" width="13.44140625" style="2" customWidth="1"/>
    <col min="5130" max="5130" width="12.44140625" style="2" customWidth="1"/>
    <col min="5131" max="5131" width="9.109375" style="2"/>
    <col min="5132" max="5132" width="12" style="2" bestFit="1" customWidth="1"/>
    <col min="5133" max="5133" width="11.44140625" style="2" customWidth="1"/>
    <col min="5134" max="5134" width="14.33203125" style="2" bestFit="1" customWidth="1"/>
    <col min="5135" max="5135" width="9.109375" style="2"/>
    <col min="5136" max="5136" width="10.33203125" style="2" bestFit="1" customWidth="1"/>
    <col min="5137" max="5367" width="9.109375" style="2"/>
    <col min="5368" max="5368" width="5.6640625" style="2" customWidth="1"/>
    <col min="5369" max="5369" width="35.6640625" style="2" customWidth="1"/>
    <col min="5370" max="5370" width="16.33203125" style="2" customWidth="1"/>
    <col min="5371" max="5371" width="32.44140625" style="2" customWidth="1"/>
    <col min="5372" max="5372" width="10.5546875" style="2" customWidth="1"/>
    <col min="5373" max="5373" width="13" style="2" customWidth="1"/>
    <col min="5374" max="5374" width="24.33203125" style="2" customWidth="1"/>
    <col min="5375" max="5375" width="14.33203125" style="2" customWidth="1"/>
    <col min="5376" max="5379" width="12.6640625" style="2" customWidth="1"/>
    <col min="5380" max="5380" width="12.5546875" style="2" customWidth="1"/>
    <col min="5381" max="5381" width="10.33203125" style="2" customWidth="1"/>
    <col min="5382" max="5382" width="13.6640625" style="2" customWidth="1"/>
    <col min="5383" max="5383" width="14" style="2" customWidth="1"/>
    <col min="5384" max="5384" width="12.5546875" style="2" customWidth="1"/>
    <col min="5385" max="5385" width="13.44140625" style="2" customWidth="1"/>
    <col min="5386" max="5386" width="12.44140625" style="2" customWidth="1"/>
    <col min="5387" max="5387" width="9.109375" style="2"/>
    <col min="5388" max="5388" width="12" style="2" bestFit="1" customWidth="1"/>
    <col min="5389" max="5389" width="11.44140625" style="2" customWidth="1"/>
    <col min="5390" max="5390" width="14.33203125" style="2" bestFit="1" customWidth="1"/>
    <col min="5391" max="5391" width="9.109375" style="2"/>
    <col min="5392" max="5392" width="10.33203125" style="2" bestFit="1" customWidth="1"/>
    <col min="5393" max="5623" width="9.109375" style="2"/>
    <col min="5624" max="5624" width="5.6640625" style="2" customWidth="1"/>
    <col min="5625" max="5625" width="35.6640625" style="2" customWidth="1"/>
    <col min="5626" max="5626" width="16.33203125" style="2" customWidth="1"/>
    <col min="5627" max="5627" width="32.44140625" style="2" customWidth="1"/>
    <col min="5628" max="5628" width="10.5546875" style="2" customWidth="1"/>
    <col min="5629" max="5629" width="13" style="2" customWidth="1"/>
    <col min="5630" max="5630" width="24.33203125" style="2" customWidth="1"/>
    <col min="5631" max="5631" width="14.33203125" style="2" customWidth="1"/>
    <col min="5632" max="5635" width="12.6640625" style="2" customWidth="1"/>
    <col min="5636" max="5636" width="12.5546875" style="2" customWidth="1"/>
    <col min="5637" max="5637" width="10.33203125" style="2" customWidth="1"/>
    <col min="5638" max="5638" width="13.6640625" style="2" customWidth="1"/>
    <col min="5639" max="5639" width="14" style="2" customWidth="1"/>
    <col min="5640" max="5640" width="12.5546875" style="2" customWidth="1"/>
    <col min="5641" max="5641" width="13.44140625" style="2" customWidth="1"/>
    <col min="5642" max="5642" width="12.44140625" style="2" customWidth="1"/>
    <col min="5643" max="5643" width="9.109375" style="2"/>
    <col min="5644" max="5644" width="12" style="2" bestFit="1" customWidth="1"/>
    <col min="5645" max="5645" width="11.44140625" style="2" customWidth="1"/>
    <col min="5646" max="5646" width="14.33203125" style="2" bestFit="1" customWidth="1"/>
    <col min="5647" max="5647" width="9.109375" style="2"/>
    <col min="5648" max="5648" width="10.33203125" style="2" bestFit="1" customWidth="1"/>
    <col min="5649" max="5879" width="9.109375" style="2"/>
    <col min="5880" max="5880" width="5.6640625" style="2" customWidth="1"/>
    <col min="5881" max="5881" width="35.6640625" style="2" customWidth="1"/>
    <col min="5882" max="5882" width="16.33203125" style="2" customWidth="1"/>
    <col min="5883" max="5883" width="32.44140625" style="2" customWidth="1"/>
    <col min="5884" max="5884" width="10.5546875" style="2" customWidth="1"/>
    <col min="5885" max="5885" width="13" style="2" customWidth="1"/>
    <col min="5886" max="5886" width="24.33203125" style="2" customWidth="1"/>
    <col min="5887" max="5887" width="14.33203125" style="2" customWidth="1"/>
    <col min="5888" max="5891" width="12.6640625" style="2" customWidth="1"/>
    <col min="5892" max="5892" width="12.5546875" style="2" customWidth="1"/>
    <col min="5893" max="5893" width="10.33203125" style="2" customWidth="1"/>
    <col min="5894" max="5894" width="13.6640625" style="2" customWidth="1"/>
    <col min="5895" max="5895" width="14" style="2" customWidth="1"/>
    <col min="5896" max="5896" width="12.5546875" style="2" customWidth="1"/>
    <col min="5897" max="5897" width="13.44140625" style="2" customWidth="1"/>
    <col min="5898" max="5898" width="12.44140625" style="2" customWidth="1"/>
    <col min="5899" max="5899" width="9.109375" style="2"/>
    <col min="5900" max="5900" width="12" style="2" bestFit="1" customWidth="1"/>
    <col min="5901" max="5901" width="11.44140625" style="2" customWidth="1"/>
    <col min="5902" max="5902" width="14.33203125" style="2" bestFit="1" customWidth="1"/>
    <col min="5903" max="5903" width="9.109375" style="2"/>
    <col min="5904" max="5904" width="10.33203125" style="2" bestFit="1" customWidth="1"/>
    <col min="5905" max="6135" width="9.109375" style="2"/>
    <col min="6136" max="6136" width="5.6640625" style="2" customWidth="1"/>
    <col min="6137" max="6137" width="35.6640625" style="2" customWidth="1"/>
    <col min="6138" max="6138" width="16.33203125" style="2" customWidth="1"/>
    <col min="6139" max="6139" width="32.44140625" style="2" customWidth="1"/>
    <col min="6140" max="6140" width="10.5546875" style="2" customWidth="1"/>
    <col min="6141" max="6141" width="13" style="2" customWidth="1"/>
    <col min="6142" max="6142" width="24.33203125" style="2" customWidth="1"/>
    <col min="6143" max="6143" width="14.33203125" style="2" customWidth="1"/>
    <col min="6144" max="6147" width="12.6640625" style="2" customWidth="1"/>
    <col min="6148" max="6148" width="12.5546875" style="2" customWidth="1"/>
    <col min="6149" max="6149" width="10.33203125" style="2" customWidth="1"/>
    <col min="6150" max="6150" width="13.6640625" style="2" customWidth="1"/>
    <col min="6151" max="6151" width="14" style="2" customWidth="1"/>
    <col min="6152" max="6152" width="12.5546875" style="2" customWidth="1"/>
    <col min="6153" max="6153" width="13.44140625" style="2" customWidth="1"/>
    <col min="6154" max="6154" width="12.44140625" style="2" customWidth="1"/>
    <col min="6155" max="6155" width="9.109375" style="2"/>
    <col min="6156" max="6156" width="12" style="2" bestFit="1" customWidth="1"/>
    <col min="6157" max="6157" width="11.44140625" style="2" customWidth="1"/>
    <col min="6158" max="6158" width="14.33203125" style="2" bestFit="1" customWidth="1"/>
    <col min="6159" max="6159" width="9.109375" style="2"/>
    <col min="6160" max="6160" width="10.33203125" style="2" bestFit="1" customWidth="1"/>
    <col min="6161" max="6391" width="9.109375" style="2"/>
    <col min="6392" max="6392" width="5.6640625" style="2" customWidth="1"/>
    <col min="6393" max="6393" width="35.6640625" style="2" customWidth="1"/>
    <col min="6394" max="6394" width="16.33203125" style="2" customWidth="1"/>
    <col min="6395" max="6395" width="32.44140625" style="2" customWidth="1"/>
    <col min="6396" max="6396" width="10.5546875" style="2" customWidth="1"/>
    <col min="6397" max="6397" width="13" style="2" customWidth="1"/>
    <col min="6398" max="6398" width="24.33203125" style="2" customWidth="1"/>
    <col min="6399" max="6399" width="14.33203125" style="2" customWidth="1"/>
    <col min="6400" max="6403" width="12.6640625" style="2" customWidth="1"/>
    <col min="6404" max="6404" width="12.5546875" style="2" customWidth="1"/>
    <col min="6405" max="6405" width="10.33203125" style="2" customWidth="1"/>
    <col min="6406" max="6406" width="13.6640625" style="2" customWidth="1"/>
    <col min="6407" max="6407" width="14" style="2" customWidth="1"/>
    <col min="6408" max="6408" width="12.5546875" style="2" customWidth="1"/>
    <col min="6409" max="6409" width="13.44140625" style="2" customWidth="1"/>
    <col min="6410" max="6410" width="12.44140625" style="2" customWidth="1"/>
    <col min="6411" max="6411" width="9.109375" style="2"/>
    <col min="6412" max="6412" width="12" style="2" bestFit="1" customWidth="1"/>
    <col min="6413" max="6413" width="11.44140625" style="2" customWidth="1"/>
    <col min="6414" max="6414" width="14.33203125" style="2" bestFit="1" customWidth="1"/>
    <col min="6415" max="6415" width="9.109375" style="2"/>
    <col min="6416" max="6416" width="10.33203125" style="2" bestFit="1" customWidth="1"/>
    <col min="6417" max="6647" width="9.109375" style="2"/>
    <col min="6648" max="6648" width="5.6640625" style="2" customWidth="1"/>
    <col min="6649" max="6649" width="35.6640625" style="2" customWidth="1"/>
    <col min="6650" max="6650" width="16.33203125" style="2" customWidth="1"/>
    <col min="6651" max="6651" width="32.44140625" style="2" customWidth="1"/>
    <col min="6652" max="6652" width="10.5546875" style="2" customWidth="1"/>
    <col min="6653" max="6653" width="13" style="2" customWidth="1"/>
    <col min="6654" max="6654" width="24.33203125" style="2" customWidth="1"/>
    <col min="6655" max="6655" width="14.33203125" style="2" customWidth="1"/>
    <col min="6656" max="6659" width="12.6640625" style="2" customWidth="1"/>
    <col min="6660" max="6660" width="12.5546875" style="2" customWidth="1"/>
    <col min="6661" max="6661" width="10.33203125" style="2" customWidth="1"/>
    <col min="6662" max="6662" width="13.6640625" style="2" customWidth="1"/>
    <col min="6663" max="6663" width="14" style="2" customWidth="1"/>
    <col min="6664" max="6664" width="12.5546875" style="2" customWidth="1"/>
    <col min="6665" max="6665" width="13.44140625" style="2" customWidth="1"/>
    <col min="6666" max="6666" width="12.44140625" style="2" customWidth="1"/>
    <col min="6667" max="6667" width="9.109375" style="2"/>
    <col min="6668" max="6668" width="12" style="2" bestFit="1" customWidth="1"/>
    <col min="6669" max="6669" width="11.44140625" style="2" customWidth="1"/>
    <col min="6670" max="6670" width="14.33203125" style="2" bestFit="1" customWidth="1"/>
    <col min="6671" max="6671" width="9.109375" style="2"/>
    <col min="6672" max="6672" width="10.33203125" style="2" bestFit="1" customWidth="1"/>
    <col min="6673" max="6903" width="9.109375" style="2"/>
    <col min="6904" max="6904" width="5.6640625" style="2" customWidth="1"/>
    <col min="6905" max="6905" width="35.6640625" style="2" customWidth="1"/>
    <col min="6906" max="6906" width="16.33203125" style="2" customWidth="1"/>
    <col min="6907" max="6907" width="32.44140625" style="2" customWidth="1"/>
    <col min="6908" max="6908" width="10.5546875" style="2" customWidth="1"/>
    <col min="6909" max="6909" width="13" style="2" customWidth="1"/>
    <col min="6910" max="6910" width="24.33203125" style="2" customWidth="1"/>
    <col min="6911" max="6911" width="14.33203125" style="2" customWidth="1"/>
    <col min="6912" max="6915" width="12.6640625" style="2" customWidth="1"/>
    <col min="6916" max="6916" width="12.5546875" style="2" customWidth="1"/>
    <col min="6917" max="6917" width="10.33203125" style="2" customWidth="1"/>
    <col min="6918" max="6918" width="13.6640625" style="2" customWidth="1"/>
    <col min="6919" max="6919" width="14" style="2" customWidth="1"/>
    <col min="6920" max="6920" width="12.5546875" style="2" customWidth="1"/>
    <col min="6921" max="6921" width="13.44140625" style="2" customWidth="1"/>
    <col min="6922" max="6922" width="12.44140625" style="2" customWidth="1"/>
    <col min="6923" max="6923" width="9.109375" style="2"/>
    <col min="6924" max="6924" width="12" style="2" bestFit="1" customWidth="1"/>
    <col min="6925" max="6925" width="11.44140625" style="2" customWidth="1"/>
    <col min="6926" max="6926" width="14.33203125" style="2" bestFit="1" customWidth="1"/>
    <col min="6927" max="6927" width="9.109375" style="2"/>
    <col min="6928" max="6928" width="10.33203125" style="2" bestFit="1" customWidth="1"/>
    <col min="6929" max="7159" width="9.109375" style="2"/>
    <col min="7160" max="7160" width="5.6640625" style="2" customWidth="1"/>
    <col min="7161" max="7161" width="35.6640625" style="2" customWidth="1"/>
    <col min="7162" max="7162" width="16.33203125" style="2" customWidth="1"/>
    <col min="7163" max="7163" width="32.44140625" style="2" customWidth="1"/>
    <col min="7164" max="7164" width="10.5546875" style="2" customWidth="1"/>
    <col min="7165" max="7165" width="13" style="2" customWidth="1"/>
    <col min="7166" max="7166" width="24.33203125" style="2" customWidth="1"/>
    <col min="7167" max="7167" width="14.33203125" style="2" customWidth="1"/>
    <col min="7168" max="7171" width="12.6640625" style="2" customWidth="1"/>
    <col min="7172" max="7172" width="12.5546875" style="2" customWidth="1"/>
    <col min="7173" max="7173" width="10.33203125" style="2" customWidth="1"/>
    <col min="7174" max="7174" width="13.6640625" style="2" customWidth="1"/>
    <col min="7175" max="7175" width="14" style="2" customWidth="1"/>
    <col min="7176" max="7176" width="12.5546875" style="2" customWidth="1"/>
    <col min="7177" max="7177" width="13.44140625" style="2" customWidth="1"/>
    <col min="7178" max="7178" width="12.44140625" style="2" customWidth="1"/>
    <col min="7179" max="7179" width="9.109375" style="2"/>
    <col min="7180" max="7180" width="12" style="2" bestFit="1" customWidth="1"/>
    <col min="7181" max="7181" width="11.44140625" style="2" customWidth="1"/>
    <col min="7182" max="7182" width="14.33203125" style="2" bestFit="1" customWidth="1"/>
    <col min="7183" max="7183" width="9.109375" style="2"/>
    <col min="7184" max="7184" width="10.33203125" style="2" bestFit="1" customWidth="1"/>
    <col min="7185" max="7415" width="9.109375" style="2"/>
    <col min="7416" max="7416" width="5.6640625" style="2" customWidth="1"/>
    <col min="7417" max="7417" width="35.6640625" style="2" customWidth="1"/>
    <col min="7418" max="7418" width="16.33203125" style="2" customWidth="1"/>
    <col min="7419" max="7419" width="32.44140625" style="2" customWidth="1"/>
    <col min="7420" max="7420" width="10.5546875" style="2" customWidth="1"/>
    <col min="7421" max="7421" width="13" style="2" customWidth="1"/>
    <col min="7422" max="7422" width="24.33203125" style="2" customWidth="1"/>
    <col min="7423" max="7423" width="14.33203125" style="2" customWidth="1"/>
    <col min="7424" max="7427" width="12.6640625" style="2" customWidth="1"/>
    <col min="7428" max="7428" width="12.5546875" style="2" customWidth="1"/>
    <col min="7429" max="7429" width="10.33203125" style="2" customWidth="1"/>
    <col min="7430" max="7430" width="13.6640625" style="2" customWidth="1"/>
    <col min="7431" max="7431" width="14" style="2" customWidth="1"/>
    <col min="7432" max="7432" width="12.5546875" style="2" customWidth="1"/>
    <col min="7433" max="7433" width="13.44140625" style="2" customWidth="1"/>
    <col min="7434" max="7434" width="12.44140625" style="2" customWidth="1"/>
    <col min="7435" max="7435" width="9.109375" style="2"/>
    <col min="7436" max="7436" width="12" style="2" bestFit="1" customWidth="1"/>
    <col min="7437" max="7437" width="11.44140625" style="2" customWidth="1"/>
    <col min="7438" max="7438" width="14.33203125" style="2" bestFit="1" customWidth="1"/>
    <col min="7439" max="7439" width="9.109375" style="2"/>
    <col min="7440" max="7440" width="10.33203125" style="2" bestFit="1" customWidth="1"/>
    <col min="7441" max="7671" width="9.109375" style="2"/>
    <col min="7672" max="7672" width="5.6640625" style="2" customWidth="1"/>
    <col min="7673" max="7673" width="35.6640625" style="2" customWidth="1"/>
    <col min="7674" max="7674" width="16.33203125" style="2" customWidth="1"/>
    <col min="7675" max="7675" width="32.44140625" style="2" customWidth="1"/>
    <col min="7676" max="7676" width="10.5546875" style="2" customWidth="1"/>
    <col min="7677" max="7677" width="13" style="2" customWidth="1"/>
    <col min="7678" max="7678" width="24.33203125" style="2" customWidth="1"/>
    <col min="7679" max="7679" width="14.33203125" style="2" customWidth="1"/>
    <col min="7680" max="7683" width="12.6640625" style="2" customWidth="1"/>
    <col min="7684" max="7684" width="12.5546875" style="2" customWidth="1"/>
    <col min="7685" max="7685" width="10.33203125" style="2" customWidth="1"/>
    <col min="7686" max="7686" width="13.6640625" style="2" customWidth="1"/>
    <col min="7687" max="7687" width="14" style="2" customWidth="1"/>
    <col min="7688" max="7688" width="12.5546875" style="2" customWidth="1"/>
    <col min="7689" max="7689" width="13.44140625" style="2" customWidth="1"/>
    <col min="7690" max="7690" width="12.44140625" style="2" customWidth="1"/>
    <col min="7691" max="7691" width="9.109375" style="2"/>
    <col min="7692" max="7692" width="12" style="2" bestFit="1" customWidth="1"/>
    <col min="7693" max="7693" width="11.44140625" style="2" customWidth="1"/>
    <col min="7694" max="7694" width="14.33203125" style="2" bestFit="1" customWidth="1"/>
    <col min="7695" max="7695" width="9.109375" style="2"/>
    <col min="7696" max="7696" width="10.33203125" style="2" bestFit="1" customWidth="1"/>
    <col min="7697" max="7927" width="9.109375" style="2"/>
    <col min="7928" max="7928" width="5.6640625" style="2" customWidth="1"/>
    <col min="7929" max="7929" width="35.6640625" style="2" customWidth="1"/>
    <col min="7930" max="7930" width="16.33203125" style="2" customWidth="1"/>
    <col min="7931" max="7931" width="32.44140625" style="2" customWidth="1"/>
    <col min="7932" max="7932" width="10.5546875" style="2" customWidth="1"/>
    <col min="7933" max="7933" width="13" style="2" customWidth="1"/>
    <col min="7934" max="7934" width="24.33203125" style="2" customWidth="1"/>
    <col min="7935" max="7935" width="14.33203125" style="2" customWidth="1"/>
    <col min="7936" max="7939" width="12.6640625" style="2" customWidth="1"/>
    <col min="7940" max="7940" width="12.5546875" style="2" customWidth="1"/>
    <col min="7941" max="7941" width="10.33203125" style="2" customWidth="1"/>
    <col min="7942" max="7942" width="13.6640625" style="2" customWidth="1"/>
    <col min="7943" max="7943" width="14" style="2" customWidth="1"/>
    <col min="7944" max="7944" width="12.5546875" style="2" customWidth="1"/>
    <col min="7945" max="7945" width="13.44140625" style="2" customWidth="1"/>
    <col min="7946" max="7946" width="12.44140625" style="2" customWidth="1"/>
    <col min="7947" max="7947" width="9.109375" style="2"/>
    <col min="7948" max="7948" width="12" style="2" bestFit="1" customWidth="1"/>
    <col min="7949" max="7949" width="11.44140625" style="2" customWidth="1"/>
    <col min="7950" max="7950" width="14.33203125" style="2" bestFit="1" customWidth="1"/>
    <col min="7951" max="7951" width="9.109375" style="2"/>
    <col min="7952" max="7952" width="10.33203125" style="2" bestFit="1" customWidth="1"/>
    <col min="7953" max="8183" width="9.109375" style="2"/>
    <col min="8184" max="8184" width="5.6640625" style="2" customWidth="1"/>
    <col min="8185" max="8185" width="35.6640625" style="2" customWidth="1"/>
    <col min="8186" max="8186" width="16.33203125" style="2" customWidth="1"/>
    <col min="8187" max="8187" width="32.44140625" style="2" customWidth="1"/>
    <col min="8188" max="8188" width="10.5546875" style="2" customWidth="1"/>
    <col min="8189" max="8189" width="13" style="2" customWidth="1"/>
    <col min="8190" max="8190" width="24.33203125" style="2" customWidth="1"/>
    <col min="8191" max="8191" width="14.33203125" style="2" customWidth="1"/>
    <col min="8192" max="8195" width="12.6640625" style="2" customWidth="1"/>
    <col min="8196" max="8196" width="12.5546875" style="2" customWidth="1"/>
    <col min="8197" max="8197" width="10.33203125" style="2" customWidth="1"/>
    <col min="8198" max="8198" width="13.6640625" style="2" customWidth="1"/>
    <col min="8199" max="8199" width="14" style="2" customWidth="1"/>
    <col min="8200" max="8200" width="12.5546875" style="2" customWidth="1"/>
    <col min="8201" max="8201" width="13.44140625" style="2" customWidth="1"/>
    <col min="8202" max="8202" width="12.44140625" style="2" customWidth="1"/>
    <col min="8203" max="8203" width="9.109375" style="2"/>
    <col min="8204" max="8204" width="12" style="2" bestFit="1" customWidth="1"/>
    <col min="8205" max="8205" width="11.44140625" style="2" customWidth="1"/>
    <col min="8206" max="8206" width="14.33203125" style="2" bestFit="1" customWidth="1"/>
    <col min="8207" max="8207" width="9.109375" style="2"/>
    <col min="8208" max="8208" width="10.33203125" style="2" bestFit="1" customWidth="1"/>
    <col min="8209" max="8439" width="9.109375" style="2"/>
    <col min="8440" max="8440" width="5.6640625" style="2" customWidth="1"/>
    <col min="8441" max="8441" width="35.6640625" style="2" customWidth="1"/>
    <col min="8442" max="8442" width="16.33203125" style="2" customWidth="1"/>
    <col min="8443" max="8443" width="32.44140625" style="2" customWidth="1"/>
    <col min="8444" max="8444" width="10.5546875" style="2" customWidth="1"/>
    <col min="8445" max="8445" width="13" style="2" customWidth="1"/>
    <col min="8446" max="8446" width="24.33203125" style="2" customWidth="1"/>
    <col min="8447" max="8447" width="14.33203125" style="2" customWidth="1"/>
    <col min="8448" max="8451" width="12.6640625" style="2" customWidth="1"/>
    <col min="8452" max="8452" width="12.5546875" style="2" customWidth="1"/>
    <col min="8453" max="8453" width="10.33203125" style="2" customWidth="1"/>
    <col min="8454" max="8454" width="13.6640625" style="2" customWidth="1"/>
    <col min="8455" max="8455" width="14" style="2" customWidth="1"/>
    <col min="8456" max="8456" width="12.5546875" style="2" customWidth="1"/>
    <col min="8457" max="8457" width="13.44140625" style="2" customWidth="1"/>
    <col min="8458" max="8458" width="12.44140625" style="2" customWidth="1"/>
    <col min="8459" max="8459" width="9.109375" style="2"/>
    <col min="8460" max="8460" width="12" style="2" bestFit="1" customWidth="1"/>
    <col min="8461" max="8461" width="11.44140625" style="2" customWidth="1"/>
    <col min="8462" max="8462" width="14.33203125" style="2" bestFit="1" customWidth="1"/>
    <col min="8463" max="8463" width="9.109375" style="2"/>
    <col min="8464" max="8464" width="10.33203125" style="2" bestFit="1" customWidth="1"/>
    <col min="8465" max="8695" width="9.109375" style="2"/>
    <col min="8696" max="8696" width="5.6640625" style="2" customWidth="1"/>
    <col min="8697" max="8697" width="35.6640625" style="2" customWidth="1"/>
    <col min="8698" max="8698" width="16.33203125" style="2" customWidth="1"/>
    <col min="8699" max="8699" width="32.44140625" style="2" customWidth="1"/>
    <col min="8700" max="8700" width="10.5546875" style="2" customWidth="1"/>
    <col min="8701" max="8701" width="13" style="2" customWidth="1"/>
    <col min="8702" max="8702" width="24.33203125" style="2" customWidth="1"/>
    <col min="8703" max="8703" width="14.33203125" style="2" customWidth="1"/>
    <col min="8704" max="8707" width="12.6640625" style="2" customWidth="1"/>
    <col min="8708" max="8708" width="12.5546875" style="2" customWidth="1"/>
    <col min="8709" max="8709" width="10.33203125" style="2" customWidth="1"/>
    <col min="8710" max="8710" width="13.6640625" style="2" customWidth="1"/>
    <col min="8711" max="8711" width="14" style="2" customWidth="1"/>
    <col min="8712" max="8712" width="12.5546875" style="2" customWidth="1"/>
    <col min="8713" max="8713" width="13.44140625" style="2" customWidth="1"/>
    <col min="8714" max="8714" width="12.44140625" style="2" customWidth="1"/>
    <col min="8715" max="8715" width="9.109375" style="2"/>
    <col min="8716" max="8716" width="12" style="2" bestFit="1" customWidth="1"/>
    <col min="8717" max="8717" width="11.44140625" style="2" customWidth="1"/>
    <col min="8718" max="8718" width="14.33203125" style="2" bestFit="1" customWidth="1"/>
    <col min="8719" max="8719" width="9.109375" style="2"/>
    <col min="8720" max="8720" width="10.33203125" style="2" bestFit="1" customWidth="1"/>
    <col min="8721" max="8951" width="9.109375" style="2"/>
    <col min="8952" max="8952" width="5.6640625" style="2" customWidth="1"/>
    <col min="8953" max="8953" width="35.6640625" style="2" customWidth="1"/>
    <col min="8954" max="8954" width="16.33203125" style="2" customWidth="1"/>
    <col min="8955" max="8955" width="32.44140625" style="2" customWidth="1"/>
    <col min="8956" max="8956" width="10.5546875" style="2" customWidth="1"/>
    <col min="8957" max="8957" width="13" style="2" customWidth="1"/>
    <col min="8958" max="8958" width="24.33203125" style="2" customWidth="1"/>
    <col min="8959" max="8959" width="14.33203125" style="2" customWidth="1"/>
    <col min="8960" max="8963" width="12.6640625" style="2" customWidth="1"/>
    <col min="8964" max="8964" width="12.5546875" style="2" customWidth="1"/>
    <col min="8965" max="8965" width="10.33203125" style="2" customWidth="1"/>
    <col min="8966" max="8966" width="13.6640625" style="2" customWidth="1"/>
    <col min="8967" max="8967" width="14" style="2" customWidth="1"/>
    <col min="8968" max="8968" width="12.5546875" style="2" customWidth="1"/>
    <col min="8969" max="8969" width="13.44140625" style="2" customWidth="1"/>
    <col min="8970" max="8970" width="12.44140625" style="2" customWidth="1"/>
    <col min="8971" max="8971" width="9.109375" style="2"/>
    <col min="8972" max="8972" width="12" style="2" bestFit="1" customWidth="1"/>
    <col min="8973" max="8973" width="11.44140625" style="2" customWidth="1"/>
    <col min="8974" max="8974" width="14.33203125" style="2" bestFit="1" customWidth="1"/>
    <col min="8975" max="8975" width="9.109375" style="2"/>
    <col min="8976" max="8976" width="10.33203125" style="2" bestFit="1" customWidth="1"/>
    <col min="8977" max="9207" width="9.109375" style="2"/>
    <col min="9208" max="9208" width="5.6640625" style="2" customWidth="1"/>
    <col min="9209" max="9209" width="35.6640625" style="2" customWidth="1"/>
    <col min="9210" max="9210" width="16.33203125" style="2" customWidth="1"/>
    <col min="9211" max="9211" width="32.44140625" style="2" customWidth="1"/>
    <col min="9212" max="9212" width="10.5546875" style="2" customWidth="1"/>
    <col min="9213" max="9213" width="13" style="2" customWidth="1"/>
    <col min="9214" max="9214" width="24.33203125" style="2" customWidth="1"/>
    <col min="9215" max="9215" width="14.33203125" style="2" customWidth="1"/>
    <col min="9216" max="9219" width="12.6640625" style="2" customWidth="1"/>
    <col min="9220" max="9220" width="12.5546875" style="2" customWidth="1"/>
    <col min="9221" max="9221" width="10.33203125" style="2" customWidth="1"/>
    <col min="9222" max="9222" width="13.6640625" style="2" customWidth="1"/>
    <col min="9223" max="9223" width="14" style="2" customWidth="1"/>
    <col min="9224" max="9224" width="12.5546875" style="2" customWidth="1"/>
    <col min="9225" max="9225" width="13.44140625" style="2" customWidth="1"/>
    <col min="9226" max="9226" width="12.44140625" style="2" customWidth="1"/>
    <col min="9227" max="9227" width="9.109375" style="2"/>
    <col min="9228" max="9228" width="12" style="2" bestFit="1" customWidth="1"/>
    <col min="9229" max="9229" width="11.44140625" style="2" customWidth="1"/>
    <col min="9230" max="9230" width="14.33203125" style="2" bestFit="1" customWidth="1"/>
    <col min="9231" max="9231" width="9.109375" style="2"/>
    <col min="9232" max="9232" width="10.33203125" style="2" bestFit="1" customWidth="1"/>
    <col min="9233" max="9463" width="9.109375" style="2"/>
    <col min="9464" max="9464" width="5.6640625" style="2" customWidth="1"/>
    <col min="9465" max="9465" width="35.6640625" style="2" customWidth="1"/>
    <col min="9466" max="9466" width="16.33203125" style="2" customWidth="1"/>
    <col min="9467" max="9467" width="32.44140625" style="2" customWidth="1"/>
    <col min="9468" max="9468" width="10.5546875" style="2" customWidth="1"/>
    <col min="9469" max="9469" width="13" style="2" customWidth="1"/>
    <col min="9470" max="9470" width="24.33203125" style="2" customWidth="1"/>
    <col min="9471" max="9471" width="14.33203125" style="2" customWidth="1"/>
    <col min="9472" max="9475" width="12.6640625" style="2" customWidth="1"/>
    <col min="9476" max="9476" width="12.5546875" style="2" customWidth="1"/>
    <col min="9477" max="9477" width="10.33203125" style="2" customWidth="1"/>
    <col min="9478" max="9478" width="13.6640625" style="2" customWidth="1"/>
    <col min="9479" max="9479" width="14" style="2" customWidth="1"/>
    <col min="9480" max="9480" width="12.5546875" style="2" customWidth="1"/>
    <col min="9481" max="9481" width="13.44140625" style="2" customWidth="1"/>
    <col min="9482" max="9482" width="12.44140625" style="2" customWidth="1"/>
    <col min="9483" max="9483" width="9.109375" style="2"/>
    <col min="9484" max="9484" width="12" style="2" bestFit="1" customWidth="1"/>
    <col min="9485" max="9485" width="11.44140625" style="2" customWidth="1"/>
    <col min="9486" max="9486" width="14.33203125" style="2" bestFit="1" customWidth="1"/>
    <col min="9487" max="9487" width="9.109375" style="2"/>
    <col min="9488" max="9488" width="10.33203125" style="2" bestFit="1" customWidth="1"/>
    <col min="9489" max="9719" width="9.109375" style="2"/>
    <col min="9720" max="9720" width="5.6640625" style="2" customWidth="1"/>
    <col min="9721" max="9721" width="35.6640625" style="2" customWidth="1"/>
    <col min="9722" max="9722" width="16.33203125" style="2" customWidth="1"/>
    <col min="9723" max="9723" width="32.44140625" style="2" customWidth="1"/>
    <col min="9724" max="9724" width="10.5546875" style="2" customWidth="1"/>
    <col min="9725" max="9725" width="13" style="2" customWidth="1"/>
    <col min="9726" max="9726" width="24.33203125" style="2" customWidth="1"/>
    <col min="9727" max="9727" width="14.33203125" style="2" customWidth="1"/>
    <col min="9728" max="9731" width="12.6640625" style="2" customWidth="1"/>
    <col min="9732" max="9732" width="12.5546875" style="2" customWidth="1"/>
    <col min="9733" max="9733" width="10.33203125" style="2" customWidth="1"/>
    <col min="9734" max="9734" width="13.6640625" style="2" customWidth="1"/>
    <col min="9735" max="9735" width="14" style="2" customWidth="1"/>
    <col min="9736" max="9736" width="12.5546875" style="2" customWidth="1"/>
    <col min="9737" max="9737" width="13.44140625" style="2" customWidth="1"/>
    <col min="9738" max="9738" width="12.44140625" style="2" customWidth="1"/>
    <col min="9739" max="9739" width="9.109375" style="2"/>
    <col min="9740" max="9740" width="12" style="2" bestFit="1" customWidth="1"/>
    <col min="9741" max="9741" width="11.44140625" style="2" customWidth="1"/>
    <col min="9742" max="9742" width="14.33203125" style="2" bestFit="1" customWidth="1"/>
    <col min="9743" max="9743" width="9.109375" style="2"/>
    <col min="9744" max="9744" width="10.33203125" style="2" bestFit="1" customWidth="1"/>
    <col min="9745" max="9975" width="9.109375" style="2"/>
    <col min="9976" max="9976" width="5.6640625" style="2" customWidth="1"/>
    <col min="9977" max="9977" width="35.6640625" style="2" customWidth="1"/>
    <col min="9978" max="9978" width="16.33203125" style="2" customWidth="1"/>
    <col min="9979" max="9979" width="32.44140625" style="2" customWidth="1"/>
    <col min="9980" max="9980" width="10.5546875" style="2" customWidth="1"/>
    <col min="9981" max="9981" width="13" style="2" customWidth="1"/>
    <col min="9982" max="9982" width="24.33203125" style="2" customWidth="1"/>
    <col min="9983" max="9983" width="14.33203125" style="2" customWidth="1"/>
    <col min="9984" max="9987" width="12.6640625" style="2" customWidth="1"/>
    <col min="9988" max="9988" width="12.5546875" style="2" customWidth="1"/>
    <col min="9989" max="9989" width="10.33203125" style="2" customWidth="1"/>
    <col min="9990" max="9990" width="13.6640625" style="2" customWidth="1"/>
    <col min="9991" max="9991" width="14" style="2" customWidth="1"/>
    <col min="9992" max="9992" width="12.5546875" style="2" customWidth="1"/>
    <col min="9993" max="9993" width="13.44140625" style="2" customWidth="1"/>
    <col min="9994" max="9994" width="12.44140625" style="2" customWidth="1"/>
    <col min="9995" max="9995" width="9.109375" style="2"/>
    <col min="9996" max="9996" width="12" style="2" bestFit="1" customWidth="1"/>
    <col min="9997" max="9997" width="11.44140625" style="2" customWidth="1"/>
    <col min="9998" max="9998" width="14.33203125" style="2" bestFit="1" customWidth="1"/>
    <col min="9999" max="9999" width="9.109375" style="2"/>
    <col min="10000" max="10000" width="10.33203125" style="2" bestFit="1" customWidth="1"/>
    <col min="10001" max="10231" width="9.109375" style="2"/>
    <col min="10232" max="10232" width="5.6640625" style="2" customWidth="1"/>
    <col min="10233" max="10233" width="35.6640625" style="2" customWidth="1"/>
    <col min="10234" max="10234" width="16.33203125" style="2" customWidth="1"/>
    <col min="10235" max="10235" width="32.44140625" style="2" customWidth="1"/>
    <col min="10236" max="10236" width="10.5546875" style="2" customWidth="1"/>
    <col min="10237" max="10237" width="13" style="2" customWidth="1"/>
    <col min="10238" max="10238" width="24.33203125" style="2" customWidth="1"/>
    <col min="10239" max="10239" width="14.33203125" style="2" customWidth="1"/>
    <col min="10240" max="10243" width="12.6640625" style="2" customWidth="1"/>
    <col min="10244" max="10244" width="12.5546875" style="2" customWidth="1"/>
    <col min="10245" max="10245" width="10.33203125" style="2" customWidth="1"/>
    <col min="10246" max="10246" width="13.6640625" style="2" customWidth="1"/>
    <col min="10247" max="10247" width="14" style="2" customWidth="1"/>
    <col min="10248" max="10248" width="12.5546875" style="2" customWidth="1"/>
    <col min="10249" max="10249" width="13.44140625" style="2" customWidth="1"/>
    <col min="10250" max="10250" width="12.44140625" style="2" customWidth="1"/>
    <col min="10251" max="10251" width="9.109375" style="2"/>
    <col min="10252" max="10252" width="12" style="2" bestFit="1" customWidth="1"/>
    <col min="10253" max="10253" width="11.44140625" style="2" customWidth="1"/>
    <col min="10254" max="10254" width="14.33203125" style="2" bestFit="1" customWidth="1"/>
    <col min="10255" max="10255" width="9.109375" style="2"/>
    <col min="10256" max="10256" width="10.33203125" style="2" bestFit="1" customWidth="1"/>
    <col min="10257" max="10487" width="9.109375" style="2"/>
    <col min="10488" max="10488" width="5.6640625" style="2" customWidth="1"/>
    <col min="10489" max="10489" width="35.6640625" style="2" customWidth="1"/>
    <col min="10490" max="10490" width="16.33203125" style="2" customWidth="1"/>
    <col min="10491" max="10491" width="32.44140625" style="2" customWidth="1"/>
    <col min="10492" max="10492" width="10.5546875" style="2" customWidth="1"/>
    <col min="10493" max="10493" width="13" style="2" customWidth="1"/>
    <col min="10494" max="10494" width="24.33203125" style="2" customWidth="1"/>
    <col min="10495" max="10495" width="14.33203125" style="2" customWidth="1"/>
    <col min="10496" max="10499" width="12.6640625" style="2" customWidth="1"/>
    <col min="10500" max="10500" width="12.5546875" style="2" customWidth="1"/>
    <col min="10501" max="10501" width="10.33203125" style="2" customWidth="1"/>
    <col min="10502" max="10502" width="13.6640625" style="2" customWidth="1"/>
    <col min="10503" max="10503" width="14" style="2" customWidth="1"/>
    <col min="10504" max="10504" width="12.5546875" style="2" customWidth="1"/>
    <col min="10505" max="10505" width="13.44140625" style="2" customWidth="1"/>
    <col min="10506" max="10506" width="12.44140625" style="2" customWidth="1"/>
    <col min="10507" max="10507" width="9.109375" style="2"/>
    <col min="10508" max="10508" width="12" style="2" bestFit="1" customWidth="1"/>
    <col min="10509" max="10509" width="11.44140625" style="2" customWidth="1"/>
    <col min="10510" max="10510" width="14.33203125" style="2" bestFit="1" customWidth="1"/>
    <col min="10511" max="10511" width="9.109375" style="2"/>
    <col min="10512" max="10512" width="10.33203125" style="2" bestFit="1" customWidth="1"/>
    <col min="10513" max="10743" width="9.109375" style="2"/>
    <col min="10744" max="10744" width="5.6640625" style="2" customWidth="1"/>
    <col min="10745" max="10745" width="35.6640625" style="2" customWidth="1"/>
    <col min="10746" max="10746" width="16.33203125" style="2" customWidth="1"/>
    <col min="10747" max="10747" width="32.44140625" style="2" customWidth="1"/>
    <col min="10748" max="10748" width="10.5546875" style="2" customWidth="1"/>
    <col min="10749" max="10749" width="13" style="2" customWidth="1"/>
    <col min="10750" max="10750" width="24.33203125" style="2" customWidth="1"/>
    <col min="10751" max="10751" width="14.33203125" style="2" customWidth="1"/>
    <col min="10752" max="10755" width="12.6640625" style="2" customWidth="1"/>
    <col min="10756" max="10756" width="12.5546875" style="2" customWidth="1"/>
    <col min="10757" max="10757" width="10.33203125" style="2" customWidth="1"/>
    <col min="10758" max="10758" width="13.6640625" style="2" customWidth="1"/>
    <col min="10759" max="10759" width="14" style="2" customWidth="1"/>
    <col min="10760" max="10760" width="12.5546875" style="2" customWidth="1"/>
    <col min="10761" max="10761" width="13.44140625" style="2" customWidth="1"/>
    <col min="10762" max="10762" width="12.44140625" style="2" customWidth="1"/>
    <col min="10763" max="10763" width="9.109375" style="2"/>
    <col min="10764" max="10764" width="12" style="2" bestFit="1" customWidth="1"/>
    <col min="10765" max="10765" width="11.44140625" style="2" customWidth="1"/>
    <col min="10766" max="10766" width="14.33203125" style="2" bestFit="1" customWidth="1"/>
    <col min="10767" max="10767" width="9.109375" style="2"/>
    <col min="10768" max="10768" width="10.33203125" style="2" bestFit="1" customWidth="1"/>
    <col min="10769" max="10999" width="9.109375" style="2"/>
    <col min="11000" max="11000" width="5.6640625" style="2" customWidth="1"/>
    <col min="11001" max="11001" width="35.6640625" style="2" customWidth="1"/>
    <col min="11002" max="11002" width="16.33203125" style="2" customWidth="1"/>
    <col min="11003" max="11003" width="32.44140625" style="2" customWidth="1"/>
    <col min="11004" max="11004" width="10.5546875" style="2" customWidth="1"/>
    <col min="11005" max="11005" width="13" style="2" customWidth="1"/>
    <col min="11006" max="11006" width="24.33203125" style="2" customWidth="1"/>
    <col min="11007" max="11007" width="14.33203125" style="2" customWidth="1"/>
    <col min="11008" max="11011" width="12.6640625" style="2" customWidth="1"/>
    <col min="11012" max="11012" width="12.5546875" style="2" customWidth="1"/>
    <col min="11013" max="11013" width="10.33203125" style="2" customWidth="1"/>
    <col min="11014" max="11014" width="13.6640625" style="2" customWidth="1"/>
    <col min="11015" max="11015" width="14" style="2" customWidth="1"/>
    <col min="11016" max="11016" width="12.5546875" style="2" customWidth="1"/>
    <col min="11017" max="11017" width="13.44140625" style="2" customWidth="1"/>
    <col min="11018" max="11018" width="12.44140625" style="2" customWidth="1"/>
    <col min="11019" max="11019" width="9.109375" style="2"/>
    <col min="11020" max="11020" width="12" style="2" bestFit="1" customWidth="1"/>
    <col min="11021" max="11021" width="11.44140625" style="2" customWidth="1"/>
    <col min="11022" max="11022" width="14.33203125" style="2" bestFit="1" customWidth="1"/>
    <col min="11023" max="11023" width="9.109375" style="2"/>
    <col min="11024" max="11024" width="10.33203125" style="2" bestFit="1" customWidth="1"/>
    <col min="11025" max="11255" width="9.109375" style="2"/>
    <col min="11256" max="11256" width="5.6640625" style="2" customWidth="1"/>
    <col min="11257" max="11257" width="35.6640625" style="2" customWidth="1"/>
    <col min="11258" max="11258" width="16.33203125" style="2" customWidth="1"/>
    <col min="11259" max="11259" width="32.44140625" style="2" customWidth="1"/>
    <col min="11260" max="11260" width="10.5546875" style="2" customWidth="1"/>
    <col min="11261" max="11261" width="13" style="2" customWidth="1"/>
    <col min="11262" max="11262" width="24.33203125" style="2" customWidth="1"/>
    <col min="11263" max="11263" width="14.33203125" style="2" customWidth="1"/>
    <col min="11264" max="11267" width="12.6640625" style="2" customWidth="1"/>
    <col min="11268" max="11268" width="12.5546875" style="2" customWidth="1"/>
    <col min="11269" max="11269" width="10.33203125" style="2" customWidth="1"/>
    <col min="11270" max="11270" width="13.6640625" style="2" customWidth="1"/>
    <col min="11271" max="11271" width="14" style="2" customWidth="1"/>
    <col min="11272" max="11272" width="12.5546875" style="2" customWidth="1"/>
    <col min="11273" max="11273" width="13.44140625" style="2" customWidth="1"/>
    <col min="11274" max="11274" width="12.44140625" style="2" customWidth="1"/>
    <col min="11275" max="11275" width="9.109375" style="2"/>
    <col min="11276" max="11276" width="12" style="2" bestFit="1" customWidth="1"/>
    <col min="11277" max="11277" width="11.44140625" style="2" customWidth="1"/>
    <col min="11278" max="11278" width="14.33203125" style="2" bestFit="1" customWidth="1"/>
    <col min="11279" max="11279" width="9.109375" style="2"/>
    <col min="11280" max="11280" width="10.33203125" style="2" bestFit="1" customWidth="1"/>
    <col min="11281" max="11511" width="9.109375" style="2"/>
    <col min="11512" max="11512" width="5.6640625" style="2" customWidth="1"/>
    <col min="11513" max="11513" width="35.6640625" style="2" customWidth="1"/>
    <col min="11514" max="11514" width="16.33203125" style="2" customWidth="1"/>
    <col min="11515" max="11515" width="32.44140625" style="2" customWidth="1"/>
    <col min="11516" max="11516" width="10.5546875" style="2" customWidth="1"/>
    <col min="11517" max="11517" width="13" style="2" customWidth="1"/>
    <col min="11518" max="11518" width="24.33203125" style="2" customWidth="1"/>
    <col min="11519" max="11519" width="14.33203125" style="2" customWidth="1"/>
    <col min="11520" max="11523" width="12.6640625" style="2" customWidth="1"/>
    <col min="11524" max="11524" width="12.5546875" style="2" customWidth="1"/>
    <col min="11525" max="11525" width="10.33203125" style="2" customWidth="1"/>
    <col min="11526" max="11526" width="13.6640625" style="2" customWidth="1"/>
    <col min="11527" max="11527" width="14" style="2" customWidth="1"/>
    <col min="11528" max="11528" width="12.5546875" style="2" customWidth="1"/>
    <col min="11529" max="11529" width="13.44140625" style="2" customWidth="1"/>
    <col min="11530" max="11530" width="12.44140625" style="2" customWidth="1"/>
    <col min="11531" max="11531" width="9.109375" style="2"/>
    <col min="11532" max="11532" width="12" style="2" bestFit="1" customWidth="1"/>
    <col min="11533" max="11533" width="11.44140625" style="2" customWidth="1"/>
    <col min="11534" max="11534" width="14.33203125" style="2" bestFit="1" customWidth="1"/>
    <col min="11535" max="11535" width="9.109375" style="2"/>
    <col min="11536" max="11536" width="10.33203125" style="2" bestFit="1" customWidth="1"/>
    <col min="11537" max="11767" width="9.109375" style="2"/>
    <col min="11768" max="11768" width="5.6640625" style="2" customWidth="1"/>
    <col min="11769" max="11769" width="35.6640625" style="2" customWidth="1"/>
    <col min="11770" max="11770" width="16.33203125" style="2" customWidth="1"/>
    <col min="11771" max="11771" width="32.44140625" style="2" customWidth="1"/>
    <col min="11772" max="11772" width="10.5546875" style="2" customWidth="1"/>
    <col min="11773" max="11773" width="13" style="2" customWidth="1"/>
    <col min="11774" max="11774" width="24.33203125" style="2" customWidth="1"/>
    <col min="11775" max="11775" width="14.33203125" style="2" customWidth="1"/>
    <col min="11776" max="11779" width="12.6640625" style="2" customWidth="1"/>
    <col min="11780" max="11780" width="12.5546875" style="2" customWidth="1"/>
    <col min="11781" max="11781" width="10.33203125" style="2" customWidth="1"/>
    <col min="11782" max="11782" width="13.6640625" style="2" customWidth="1"/>
    <col min="11783" max="11783" width="14" style="2" customWidth="1"/>
    <col min="11784" max="11784" width="12.5546875" style="2" customWidth="1"/>
    <col min="11785" max="11785" width="13.44140625" style="2" customWidth="1"/>
    <col min="11786" max="11786" width="12.44140625" style="2" customWidth="1"/>
    <col min="11787" max="11787" width="9.109375" style="2"/>
    <col min="11788" max="11788" width="12" style="2" bestFit="1" customWidth="1"/>
    <col min="11789" max="11789" width="11.44140625" style="2" customWidth="1"/>
    <col min="11790" max="11790" width="14.33203125" style="2" bestFit="1" customWidth="1"/>
    <col min="11791" max="11791" width="9.109375" style="2"/>
    <col min="11792" max="11792" width="10.33203125" style="2" bestFit="1" customWidth="1"/>
    <col min="11793" max="12023" width="9.109375" style="2"/>
    <col min="12024" max="12024" width="5.6640625" style="2" customWidth="1"/>
    <col min="12025" max="12025" width="35.6640625" style="2" customWidth="1"/>
    <col min="12026" max="12026" width="16.33203125" style="2" customWidth="1"/>
    <col min="12027" max="12027" width="32.44140625" style="2" customWidth="1"/>
    <col min="12028" max="12028" width="10.5546875" style="2" customWidth="1"/>
    <col min="12029" max="12029" width="13" style="2" customWidth="1"/>
    <col min="12030" max="12030" width="24.33203125" style="2" customWidth="1"/>
    <col min="12031" max="12031" width="14.33203125" style="2" customWidth="1"/>
    <col min="12032" max="12035" width="12.6640625" style="2" customWidth="1"/>
    <col min="12036" max="12036" width="12.5546875" style="2" customWidth="1"/>
    <col min="12037" max="12037" width="10.33203125" style="2" customWidth="1"/>
    <col min="12038" max="12038" width="13.6640625" style="2" customWidth="1"/>
    <col min="12039" max="12039" width="14" style="2" customWidth="1"/>
    <col min="12040" max="12040" width="12.5546875" style="2" customWidth="1"/>
    <col min="12041" max="12041" width="13.44140625" style="2" customWidth="1"/>
    <col min="12042" max="12042" width="12.44140625" style="2" customWidth="1"/>
    <col min="12043" max="12043" width="9.109375" style="2"/>
    <col min="12044" max="12044" width="12" style="2" bestFit="1" customWidth="1"/>
    <col min="12045" max="12045" width="11.44140625" style="2" customWidth="1"/>
    <col min="12046" max="12046" width="14.33203125" style="2" bestFit="1" customWidth="1"/>
    <col min="12047" max="12047" width="9.109375" style="2"/>
    <col min="12048" max="12048" width="10.33203125" style="2" bestFit="1" customWidth="1"/>
    <col min="12049" max="12279" width="9.109375" style="2"/>
    <col min="12280" max="12280" width="5.6640625" style="2" customWidth="1"/>
    <col min="12281" max="12281" width="35.6640625" style="2" customWidth="1"/>
    <col min="12282" max="12282" width="16.33203125" style="2" customWidth="1"/>
    <col min="12283" max="12283" width="32.44140625" style="2" customWidth="1"/>
    <col min="12284" max="12284" width="10.5546875" style="2" customWidth="1"/>
    <col min="12285" max="12285" width="13" style="2" customWidth="1"/>
    <col min="12286" max="12286" width="24.33203125" style="2" customWidth="1"/>
    <col min="12287" max="12287" width="14.33203125" style="2" customWidth="1"/>
    <col min="12288" max="12291" width="12.6640625" style="2" customWidth="1"/>
    <col min="12292" max="12292" width="12.5546875" style="2" customWidth="1"/>
    <col min="12293" max="12293" width="10.33203125" style="2" customWidth="1"/>
    <col min="12294" max="12294" width="13.6640625" style="2" customWidth="1"/>
    <col min="12295" max="12295" width="14" style="2" customWidth="1"/>
    <col min="12296" max="12296" width="12.5546875" style="2" customWidth="1"/>
    <col min="12297" max="12297" width="13.44140625" style="2" customWidth="1"/>
    <col min="12298" max="12298" width="12.44140625" style="2" customWidth="1"/>
    <col min="12299" max="12299" width="9.109375" style="2"/>
    <col min="12300" max="12300" width="12" style="2" bestFit="1" customWidth="1"/>
    <col min="12301" max="12301" width="11.44140625" style="2" customWidth="1"/>
    <col min="12302" max="12302" width="14.33203125" style="2" bestFit="1" customWidth="1"/>
    <col min="12303" max="12303" width="9.109375" style="2"/>
    <col min="12304" max="12304" width="10.33203125" style="2" bestFit="1" customWidth="1"/>
    <col min="12305" max="12535" width="9.109375" style="2"/>
    <col min="12536" max="12536" width="5.6640625" style="2" customWidth="1"/>
    <col min="12537" max="12537" width="35.6640625" style="2" customWidth="1"/>
    <col min="12538" max="12538" width="16.33203125" style="2" customWidth="1"/>
    <col min="12539" max="12539" width="32.44140625" style="2" customWidth="1"/>
    <col min="12540" max="12540" width="10.5546875" style="2" customWidth="1"/>
    <col min="12541" max="12541" width="13" style="2" customWidth="1"/>
    <col min="12542" max="12542" width="24.33203125" style="2" customWidth="1"/>
    <col min="12543" max="12543" width="14.33203125" style="2" customWidth="1"/>
    <col min="12544" max="12547" width="12.6640625" style="2" customWidth="1"/>
    <col min="12548" max="12548" width="12.5546875" style="2" customWidth="1"/>
    <col min="12549" max="12549" width="10.33203125" style="2" customWidth="1"/>
    <col min="12550" max="12550" width="13.6640625" style="2" customWidth="1"/>
    <col min="12551" max="12551" width="14" style="2" customWidth="1"/>
    <col min="12552" max="12552" width="12.5546875" style="2" customWidth="1"/>
    <col min="12553" max="12553" width="13.44140625" style="2" customWidth="1"/>
    <col min="12554" max="12554" width="12.44140625" style="2" customWidth="1"/>
    <col min="12555" max="12555" width="9.109375" style="2"/>
    <col min="12556" max="12556" width="12" style="2" bestFit="1" customWidth="1"/>
    <col min="12557" max="12557" width="11.44140625" style="2" customWidth="1"/>
    <col min="12558" max="12558" width="14.33203125" style="2" bestFit="1" customWidth="1"/>
    <col min="12559" max="12559" width="9.109375" style="2"/>
    <col min="12560" max="12560" width="10.33203125" style="2" bestFit="1" customWidth="1"/>
    <col min="12561" max="12791" width="9.109375" style="2"/>
    <col min="12792" max="12792" width="5.6640625" style="2" customWidth="1"/>
    <col min="12793" max="12793" width="35.6640625" style="2" customWidth="1"/>
    <col min="12794" max="12794" width="16.33203125" style="2" customWidth="1"/>
    <col min="12795" max="12795" width="32.44140625" style="2" customWidth="1"/>
    <col min="12796" max="12796" width="10.5546875" style="2" customWidth="1"/>
    <col min="12797" max="12797" width="13" style="2" customWidth="1"/>
    <col min="12798" max="12798" width="24.33203125" style="2" customWidth="1"/>
    <col min="12799" max="12799" width="14.33203125" style="2" customWidth="1"/>
    <col min="12800" max="12803" width="12.6640625" style="2" customWidth="1"/>
    <col min="12804" max="12804" width="12.5546875" style="2" customWidth="1"/>
    <col min="12805" max="12805" width="10.33203125" style="2" customWidth="1"/>
    <col min="12806" max="12806" width="13.6640625" style="2" customWidth="1"/>
    <col min="12807" max="12807" width="14" style="2" customWidth="1"/>
    <col min="12808" max="12808" width="12.5546875" style="2" customWidth="1"/>
    <col min="12809" max="12809" width="13.44140625" style="2" customWidth="1"/>
    <col min="12810" max="12810" width="12.44140625" style="2" customWidth="1"/>
    <col min="12811" max="12811" width="9.109375" style="2"/>
    <col min="12812" max="12812" width="12" style="2" bestFit="1" customWidth="1"/>
    <col min="12813" max="12813" width="11.44140625" style="2" customWidth="1"/>
    <col min="12814" max="12814" width="14.33203125" style="2" bestFit="1" customWidth="1"/>
    <col min="12815" max="12815" width="9.109375" style="2"/>
    <col min="12816" max="12816" width="10.33203125" style="2" bestFit="1" customWidth="1"/>
    <col min="12817" max="13047" width="9.109375" style="2"/>
    <col min="13048" max="13048" width="5.6640625" style="2" customWidth="1"/>
    <col min="13049" max="13049" width="35.6640625" style="2" customWidth="1"/>
    <col min="13050" max="13050" width="16.33203125" style="2" customWidth="1"/>
    <col min="13051" max="13051" width="32.44140625" style="2" customWidth="1"/>
    <col min="13052" max="13052" width="10.5546875" style="2" customWidth="1"/>
    <col min="13053" max="13053" width="13" style="2" customWidth="1"/>
    <col min="13054" max="13054" width="24.33203125" style="2" customWidth="1"/>
    <col min="13055" max="13055" width="14.33203125" style="2" customWidth="1"/>
    <col min="13056" max="13059" width="12.6640625" style="2" customWidth="1"/>
    <col min="13060" max="13060" width="12.5546875" style="2" customWidth="1"/>
    <col min="13061" max="13061" width="10.33203125" style="2" customWidth="1"/>
    <col min="13062" max="13062" width="13.6640625" style="2" customWidth="1"/>
    <col min="13063" max="13063" width="14" style="2" customWidth="1"/>
    <col min="13064" max="13064" width="12.5546875" style="2" customWidth="1"/>
    <col min="13065" max="13065" width="13.44140625" style="2" customWidth="1"/>
    <col min="13066" max="13066" width="12.44140625" style="2" customWidth="1"/>
    <col min="13067" max="13067" width="9.109375" style="2"/>
    <col min="13068" max="13068" width="12" style="2" bestFit="1" customWidth="1"/>
    <col min="13069" max="13069" width="11.44140625" style="2" customWidth="1"/>
    <col min="13070" max="13070" width="14.33203125" style="2" bestFit="1" customWidth="1"/>
    <col min="13071" max="13071" width="9.109375" style="2"/>
    <col min="13072" max="13072" width="10.33203125" style="2" bestFit="1" customWidth="1"/>
    <col min="13073" max="13303" width="9.109375" style="2"/>
    <col min="13304" max="13304" width="5.6640625" style="2" customWidth="1"/>
    <col min="13305" max="13305" width="35.6640625" style="2" customWidth="1"/>
    <col min="13306" max="13306" width="16.33203125" style="2" customWidth="1"/>
    <col min="13307" max="13307" width="32.44140625" style="2" customWidth="1"/>
    <col min="13308" max="13308" width="10.5546875" style="2" customWidth="1"/>
    <col min="13309" max="13309" width="13" style="2" customWidth="1"/>
    <col min="13310" max="13310" width="24.33203125" style="2" customWidth="1"/>
    <col min="13311" max="13311" width="14.33203125" style="2" customWidth="1"/>
    <col min="13312" max="13315" width="12.6640625" style="2" customWidth="1"/>
    <col min="13316" max="13316" width="12.5546875" style="2" customWidth="1"/>
    <col min="13317" max="13317" width="10.33203125" style="2" customWidth="1"/>
    <col min="13318" max="13318" width="13.6640625" style="2" customWidth="1"/>
    <col min="13319" max="13319" width="14" style="2" customWidth="1"/>
    <col min="13320" max="13320" width="12.5546875" style="2" customWidth="1"/>
    <col min="13321" max="13321" width="13.44140625" style="2" customWidth="1"/>
    <col min="13322" max="13322" width="12.44140625" style="2" customWidth="1"/>
    <col min="13323" max="13323" width="9.109375" style="2"/>
    <col min="13324" max="13324" width="12" style="2" bestFit="1" customWidth="1"/>
    <col min="13325" max="13325" width="11.44140625" style="2" customWidth="1"/>
    <col min="13326" max="13326" width="14.33203125" style="2" bestFit="1" customWidth="1"/>
    <col min="13327" max="13327" width="9.109375" style="2"/>
    <col min="13328" max="13328" width="10.33203125" style="2" bestFit="1" customWidth="1"/>
    <col min="13329" max="13559" width="9.109375" style="2"/>
    <col min="13560" max="13560" width="5.6640625" style="2" customWidth="1"/>
    <col min="13561" max="13561" width="35.6640625" style="2" customWidth="1"/>
    <col min="13562" max="13562" width="16.33203125" style="2" customWidth="1"/>
    <col min="13563" max="13563" width="32.44140625" style="2" customWidth="1"/>
    <col min="13564" max="13564" width="10.5546875" style="2" customWidth="1"/>
    <col min="13565" max="13565" width="13" style="2" customWidth="1"/>
    <col min="13566" max="13566" width="24.33203125" style="2" customWidth="1"/>
    <col min="13567" max="13567" width="14.33203125" style="2" customWidth="1"/>
    <col min="13568" max="13571" width="12.6640625" style="2" customWidth="1"/>
    <col min="13572" max="13572" width="12.5546875" style="2" customWidth="1"/>
    <col min="13573" max="13573" width="10.33203125" style="2" customWidth="1"/>
    <col min="13574" max="13574" width="13.6640625" style="2" customWidth="1"/>
    <col min="13575" max="13575" width="14" style="2" customWidth="1"/>
    <col min="13576" max="13576" width="12.5546875" style="2" customWidth="1"/>
    <col min="13577" max="13577" width="13.44140625" style="2" customWidth="1"/>
    <col min="13578" max="13578" width="12.44140625" style="2" customWidth="1"/>
    <col min="13579" max="13579" width="9.109375" style="2"/>
    <col min="13580" max="13580" width="12" style="2" bestFit="1" customWidth="1"/>
    <col min="13581" max="13581" width="11.44140625" style="2" customWidth="1"/>
    <col min="13582" max="13582" width="14.33203125" style="2" bestFit="1" customWidth="1"/>
    <col min="13583" max="13583" width="9.109375" style="2"/>
    <col min="13584" max="13584" width="10.33203125" style="2" bestFit="1" customWidth="1"/>
    <col min="13585" max="13815" width="9.109375" style="2"/>
    <col min="13816" max="13816" width="5.6640625" style="2" customWidth="1"/>
    <col min="13817" max="13817" width="35.6640625" style="2" customWidth="1"/>
    <col min="13818" max="13818" width="16.33203125" style="2" customWidth="1"/>
    <col min="13819" max="13819" width="32.44140625" style="2" customWidth="1"/>
    <col min="13820" max="13820" width="10.5546875" style="2" customWidth="1"/>
    <col min="13821" max="13821" width="13" style="2" customWidth="1"/>
    <col min="13822" max="13822" width="24.33203125" style="2" customWidth="1"/>
    <col min="13823" max="13823" width="14.33203125" style="2" customWidth="1"/>
    <col min="13824" max="13827" width="12.6640625" style="2" customWidth="1"/>
    <col min="13828" max="13828" width="12.5546875" style="2" customWidth="1"/>
    <col min="13829" max="13829" width="10.33203125" style="2" customWidth="1"/>
    <col min="13830" max="13830" width="13.6640625" style="2" customWidth="1"/>
    <col min="13831" max="13831" width="14" style="2" customWidth="1"/>
    <col min="13832" max="13832" width="12.5546875" style="2" customWidth="1"/>
    <col min="13833" max="13833" width="13.44140625" style="2" customWidth="1"/>
    <col min="13834" max="13834" width="12.44140625" style="2" customWidth="1"/>
    <col min="13835" max="13835" width="9.109375" style="2"/>
    <col min="13836" max="13836" width="12" style="2" bestFit="1" customWidth="1"/>
    <col min="13837" max="13837" width="11.44140625" style="2" customWidth="1"/>
    <col min="13838" max="13838" width="14.33203125" style="2" bestFit="1" customWidth="1"/>
    <col min="13839" max="13839" width="9.109375" style="2"/>
    <col min="13840" max="13840" width="10.33203125" style="2" bestFit="1" customWidth="1"/>
    <col min="13841" max="14071" width="9.109375" style="2"/>
    <col min="14072" max="14072" width="5.6640625" style="2" customWidth="1"/>
    <col min="14073" max="14073" width="35.6640625" style="2" customWidth="1"/>
    <col min="14074" max="14074" width="16.33203125" style="2" customWidth="1"/>
    <col min="14075" max="14075" width="32.44140625" style="2" customWidth="1"/>
    <col min="14076" max="14076" width="10.5546875" style="2" customWidth="1"/>
    <col min="14077" max="14077" width="13" style="2" customWidth="1"/>
    <col min="14078" max="14078" width="24.33203125" style="2" customWidth="1"/>
    <col min="14079" max="14079" width="14.33203125" style="2" customWidth="1"/>
    <col min="14080" max="14083" width="12.6640625" style="2" customWidth="1"/>
    <col min="14084" max="14084" width="12.5546875" style="2" customWidth="1"/>
    <col min="14085" max="14085" width="10.33203125" style="2" customWidth="1"/>
    <col min="14086" max="14086" width="13.6640625" style="2" customWidth="1"/>
    <col min="14087" max="14087" width="14" style="2" customWidth="1"/>
    <col min="14088" max="14088" width="12.5546875" style="2" customWidth="1"/>
    <col min="14089" max="14089" width="13.44140625" style="2" customWidth="1"/>
    <col min="14090" max="14090" width="12.44140625" style="2" customWidth="1"/>
    <col min="14091" max="14091" width="9.109375" style="2"/>
    <col min="14092" max="14092" width="12" style="2" bestFit="1" customWidth="1"/>
    <col min="14093" max="14093" width="11.44140625" style="2" customWidth="1"/>
    <col min="14094" max="14094" width="14.33203125" style="2" bestFit="1" customWidth="1"/>
    <col min="14095" max="14095" width="9.109375" style="2"/>
    <col min="14096" max="14096" width="10.33203125" style="2" bestFit="1" customWidth="1"/>
    <col min="14097" max="14327" width="9.109375" style="2"/>
    <col min="14328" max="14328" width="5.6640625" style="2" customWidth="1"/>
    <col min="14329" max="14329" width="35.6640625" style="2" customWidth="1"/>
    <col min="14330" max="14330" width="16.33203125" style="2" customWidth="1"/>
    <col min="14331" max="14331" width="32.44140625" style="2" customWidth="1"/>
    <col min="14332" max="14332" width="10.5546875" style="2" customWidth="1"/>
    <col min="14333" max="14333" width="13" style="2" customWidth="1"/>
    <col min="14334" max="14334" width="24.33203125" style="2" customWidth="1"/>
    <col min="14335" max="14335" width="14.33203125" style="2" customWidth="1"/>
    <col min="14336" max="14339" width="12.6640625" style="2" customWidth="1"/>
    <col min="14340" max="14340" width="12.5546875" style="2" customWidth="1"/>
    <col min="14341" max="14341" width="10.33203125" style="2" customWidth="1"/>
    <col min="14342" max="14342" width="13.6640625" style="2" customWidth="1"/>
    <col min="14343" max="14343" width="14" style="2" customWidth="1"/>
    <col min="14344" max="14344" width="12.5546875" style="2" customWidth="1"/>
    <col min="14345" max="14345" width="13.44140625" style="2" customWidth="1"/>
    <col min="14346" max="14346" width="12.44140625" style="2" customWidth="1"/>
    <col min="14347" max="14347" width="9.109375" style="2"/>
    <col min="14348" max="14348" width="12" style="2" bestFit="1" customWidth="1"/>
    <col min="14349" max="14349" width="11.44140625" style="2" customWidth="1"/>
    <col min="14350" max="14350" width="14.33203125" style="2" bestFit="1" customWidth="1"/>
    <col min="14351" max="14351" width="9.109375" style="2"/>
    <col min="14352" max="14352" width="10.33203125" style="2" bestFit="1" customWidth="1"/>
    <col min="14353" max="14583" width="9.109375" style="2"/>
    <col min="14584" max="14584" width="5.6640625" style="2" customWidth="1"/>
    <col min="14585" max="14585" width="35.6640625" style="2" customWidth="1"/>
    <col min="14586" max="14586" width="16.33203125" style="2" customWidth="1"/>
    <col min="14587" max="14587" width="32.44140625" style="2" customWidth="1"/>
    <col min="14588" max="14588" width="10.5546875" style="2" customWidth="1"/>
    <col min="14589" max="14589" width="13" style="2" customWidth="1"/>
    <col min="14590" max="14590" width="24.33203125" style="2" customWidth="1"/>
    <col min="14591" max="14591" width="14.33203125" style="2" customWidth="1"/>
    <col min="14592" max="14595" width="12.6640625" style="2" customWidth="1"/>
    <col min="14596" max="14596" width="12.5546875" style="2" customWidth="1"/>
    <col min="14597" max="14597" width="10.33203125" style="2" customWidth="1"/>
    <col min="14598" max="14598" width="13.6640625" style="2" customWidth="1"/>
    <col min="14599" max="14599" width="14" style="2" customWidth="1"/>
    <col min="14600" max="14600" width="12.5546875" style="2" customWidth="1"/>
    <col min="14601" max="14601" width="13.44140625" style="2" customWidth="1"/>
    <col min="14602" max="14602" width="12.44140625" style="2" customWidth="1"/>
    <col min="14603" max="14603" width="9.109375" style="2"/>
    <col min="14604" max="14604" width="12" style="2" bestFit="1" customWidth="1"/>
    <col min="14605" max="14605" width="11.44140625" style="2" customWidth="1"/>
    <col min="14606" max="14606" width="14.33203125" style="2" bestFit="1" customWidth="1"/>
    <col min="14607" max="14607" width="9.109375" style="2"/>
    <col min="14608" max="14608" width="10.33203125" style="2" bestFit="1" customWidth="1"/>
    <col min="14609" max="14839" width="9.109375" style="2"/>
    <col min="14840" max="14840" width="5.6640625" style="2" customWidth="1"/>
    <col min="14841" max="14841" width="35.6640625" style="2" customWidth="1"/>
    <col min="14842" max="14842" width="16.33203125" style="2" customWidth="1"/>
    <col min="14843" max="14843" width="32.44140625" style="2" customWidth="1"/>
    <col min="14844" max="14844" width="10.5546875" style="2" customWidth="1"/>
    <col min="14845" max="14845" width="13" style="2" customWidth="1"/>
    <col min="14846" max="14846" width="24.33203125" style="2" customWidth="1"/>
    <col min="14847" max="14847" width="14.33203125" style="2" customWidth="1"/>
    <col min="14848" max="14851" width="12.6640625" style="2" customWidth="1"/>
    <col min="14852" max="14852" width="12.5546875" style="2" customWidth="1"/>
    <col min="14853" max="14853" width="10.33203125" style="2" customWidth="1"/>
    <col min="14854" max="14854" width="13.6640625" style="2" customWidth="1"/>
    <col min="14855" max="14855" width="14" style="2" customWidth="1"/>
    <col min="14856" max="14856" width="12.5546875" style="2" customWidth="1"/>
    <col min="14857" max="14857" width="13.44140625" style="2" customWidth="1"/>
    <col min="14858" max="14858" width="12.44140625" style="2" customWidth="1"/>
    <col min="14859" max="14859" width="9.109375" style="2"/>
    <col min="14860" max="14860" width="12" style="2" bestFit="1" customWidth="1"/>
    <col min="14861" max="14861" width="11.44140625" style="2" customWidth="1"/>
    <col min="14862" max="14862" width="14.33203125" style="2" bestFit="1" customWidth="1"/>
    <col min="14863" max="14863" width="9.109375" style="2"/>
    <col min="14864" max="14864" width="10.33203125" style="2" bestFit="1" customWidth="1"/>
    <col min="14865" max="15095" width="9.109375" style="2"/>
    <col min="15096" max="15096" width="5.6640625" style="2" customWidth="1"/>
    <col min="15097" max="15097" width="35.6640625" style="2" customWidth="1"/>
    <col min="15098" max="15098" width="16.33203125" style="2" customWidth="1"/>
    <col min="15099" max="15099" width="32.44140625" style="2" customWidth="1"/>
    <col min="15100" max="15100" width="10.5546875" style="2" customWidth="1"/>
    <col min="15101" max="15101" width="13" style="2" customWidth="1"/>
    <col min="15102" max="15102" width="24.33203125" style="2" customWidth="1"/>
    <col min="15103" max="15103" width="14.33203125" style="2" customWidth="1"/>
    <col min="15104" max="15107" width="12.6640625" style="2" customWidth="1"/>
    <col min="15108" max="15108" width="12.5546875" style="2" customWidth="1"/>
    <col min="15109" max="15109" width="10.33203125" style="2" customWidth="1"/>
    <col min="15110" max="15110" width="13.6640625" style="2" customWidth="1"/>
    <col min="15111" max="15111" width="14" style="2" customWidth="1"/>
    <col min="15112" max="15112" width="12.5546875" style="2" customWidth="1"/>
    <col min="15113" max="15113" width="13.44140625" style="2" customWidth="1"/>
    <col min="15114" max="15114" width="12.44140625" style="2" customWidth="1"/>
    <col min="15115" max="15115" width="9.109375" style="2"/>
    <col min="15116" max="15116" width="12" style="2" bestFit="1" customWidth="1"/>
    <col min="15117" max="15117" width="11.44140625" style="2" customWidth="1"/>
    <col min="15118" max="15118" width="14.33203125" style="2" bestFit="1" customWidth="1"/>
    <col min="15119" max="15119" width="9.109375" style="2"/>
    <col min="15120" max="15120" width="10.33203125" style="2" bestFit="1" customWidth="1"/>
    <col min="15121" max="15351" width="9.109375" style="2"/>
    <col min="15352" max="15352" width="5.6640625" style="2" customWidth="1"/>
    <col min="15353" max="15353" width="35.6640625" style="2" customWidth="1"/>
    <col min="15354" max="15354" width="16.33203125" style="2" customWidth="1"/>
    <col min="15355" max="15355" width="32.44140625" style="2" customWidth="1"/>
    <col min="15356" max="15356" width="10.5546875" style="2" customWidth="1"/>
    <col min="15357" max="15357" width="13" style="2" customWidth="1"/>
    <col min="15358" max="15358" width="24.33203125" style="2" customWidth="1"/>
    <col min="15359" max="15359" width="14.33203125" style="2" customWidth="1"/>
    <col min="15360" max="15363" width="12.6640625" style="2" customWidth="1"/>
    <col min="15364" max="15364" width="12.5546875" style="2" customWidth="1"/>
    <col min="15365" max="15365" width="10.33203125" style="2" customWidth="1"/>
    <col min="15366" max="15366" width="13.6640625" style="2" customWidth="1"/>
    <col min="15367" max="15367" width="14" style="2" customWidth="1"/>
    <col min="15368" max="15368" width="12.5546875" style="2" customWidth="1"/>
    <col min="15369" max="15369" width="13.44140625" style="2" customWidth="1"/>
    <col min="15370" max="15370" width="12.44140625" style="2" customWidth="1"/>
    <col min="15371" max="15371" width="9.109375" style="2"/>
    <col min="15372" max="15372" width="12" style="2" bestFit="1" customWidth="1"/>
    <col min="15373" max="15373" width="11.44140625" style="2" customWidth="1"/>
    <col min="15374" max="15374" width="14.33203125" style="2" bestFit="1" customWidth="1"/>
    <col min="15375" max="15375" width="9.109375" style="2"/>
    <col min="15376" max="15376" width="10.33203125" style="2" bestFit="1" customWidth="1"/>
    <col min="15377" max="15607" width="9.109375" style="2"/>
    <col min="15608" max="15608" width="5.6640625" style="2" customWidth="1"/>
    <col min="15609" max="15609" width="35.6640625" style="2" customWidth="1"/>
    <col min="15610" max="15610" width="16.33203125" style="2" customWidth="1"/>
    <col min="15611" max="15611" width="32.44140625" style="2" customWidth="1"/>
    <col min="15612" max="15612" width="10.5546875" style="2" customWidth="1"/>
    <col min="15613" max="15613" width="13" style="2" customWidth="1"/>
    <col min="15614" max="15614" width="24.33203125" style="2" customWidth="1"/>
    <col min="15615" max="15615" width="14.33203125" style="2" customWidth="1"/>
    <col min="15616" max="15619" width="12.6640625" style="2" customWidth="1"/>
    <col min="15620" max="15620" width="12.5546875" style="2" customWidth="1"/>
    <col min="15621" max="15621" width="10.33203125" style="2" customWidth="1"/>
    <col min="15622" max="15622" width="13.6640625" style="2" customWidth="1"/>
    <col min="15623" max="15623" width="14" style="2" customWidth="1"/>
    <col min="15624" max="15624" width="12.5546875" style="2" customWidth="1"/>
    <col min="15625" max="15625" width="13.44140625" style="2" customWidth="1"/>
    <col min="15626" max="15626" width="12.44140625" style="2" customWidth="1"/>
    <col min="15627" max="15627" width="9.109375" style="2"/>
    <col min="15628" max="15628" width="12" style="2" bestFit="1" customWidth="1"/>
    <col min="15629" max="15629" width="11.44140625" style="2" customWidth="1"/>
    <col min="15630" max="15630" width="14.33203125" style="2" bestFit="1" customWidth="1"/>
    <col min="15631" max="15631" width="9.109375" style="2"/>
    <col min="15632" max="15632" width="10.33203125" style="2" bestFit="1" customWidth="1"/>
    <col min="15633" max="15863" width="9.109375" style="2"/>
    <col min="15864" max="15864" width="5.6640625" style="2" customWidth="1"/>
    <col min="15865" max="15865" width="35.6640625" style="2" customWidth="1"/>
    <col min="15866" max="15866" width="16.33203125" style="2" customWidth="1"/>
    <col min="15867" max="15867" width="32.44140625" style="2" customWidth="1"/>
    <col min="15868" max="15868" width="10.5546875" style="2" customWidth="1"/>
    <col min="15869" max="15869" width="13" style="2" customWidth="1"/>
    <col min="15870" max="15870" width="24.33203125" style="2" customWidth="1"/>
    <col min="15871" max="15871" width="14.33203125" style="2" customWidth="1"/>
    <col min="15872" max="15875" width="12.6640625" style="2" customWidth="1"/>
    <col min="15876" max="15876" width="12.5546875" style="2" customWidth="1"/>
    <col min="15877" max="15877" width="10.33203125" style="2" customWidth="1"/>
    <col min="15878" max="15878" width="13.6640625" style="2" customWidth="1"/>
    <col min="15879" max="15879" width="14" style="2" customWidth="1"/>
    <col min="15880" max="15880" width="12.5546875" style="2" customWidth="1"/>
    <col min="15881" max="15881" width="13.44140625" style="2" customWidth="1"/>
    <col min="15882" max="15882" width="12.44140625" style="2" customWidth="1"/>
    <col min="15883" max="15883" width="9.109375" style="2"/>
    <col min="15884" max="15884" width="12" style="2" bestFit="1" customWidth="1"/>
    <col min="15885" max="15885" width="11.44140625" style="2" customWidth="1"/>
    <col min="15886" max="15886" width="14.33203125" style="2" bestFit="1" customWidth="1"/>
    <col min="15887" max="15887" width="9.109375" style="2"/>
    <col min="15888" max="15888" width="10.33203125" style="2" bestFit="1" customWidth="1"/>
    <col min="15889" max="16119" width="9.109375" style="2"/>
    <col min="16120" max="16120" width="5.6640625" style="2" customWidth="1"/>
    <col min="16121" max="16121" width="35.6640625" style="2" customWidth="1"/>
    <col min="16122" max="16122" width="16.33203125" style="2" customWidth="1"/>
    <col min="16123" max="16123" width="32.44140625" style="2" customWidth="1"/>
    <col min="16124" max="16124" width="10.5546875" style="2" customWidth="1"/>
    <col min="16125" max="16125" width="13" style="2" customWidth="1"/>
    <col min="16126" max="16126" width="24.33203125" style="2" customWidth="1"/>
    <col min="16127" max="16127" width="14.33203125" style="2" customWidth="1"/>
    <col min="16128" max="16131" width="12.6640625" style="2" customWidth="1"/>
    <col min="16132" max="16132" width="12.5546875" style="2" customWidth="1"/>
    <col min="16133" max="16133" width="10.33203125" style="2" customWidth="1"/>
    <col min="16134" max="16134" width="13.6640625" style="2" customWidth="1"/>
    <col min="16135" max="16135" width="14" style="2" customWidth="1"/>
    <col min="16136" max="16136" width="12.5546875" style="2" customWidth="1"/>
    <col min="16137" max="16137" width="13.44140625" style="2" customWidth="1"/>
    <col min="16138" max="16138" width="12.44140625" style="2" customWidth="1"/>
    <col min="16139" max="16139" width="9.109375" style="2"/>
    <col min="16140" max="16140" width="12" style="2" bestFit="1" customWidth="1"/>
    <col min="16141" max="16141" width="11.44140625" style="2" customWidth="1"/>
    <col min="16142" max="16142" width="14.33203125" style="2" bestFit="1" customWidth="1"/>
    <col min="16143" max="16143" width="9.109375" style="2"/>
    <col min="16144" max="16144" width="10.33203125" style="2" bestFit="1" customWidth="1"/>
    <col min="16145" max="16366" width="9.109375" style="2"/>
    <col min="16367" max="16384" width="9.33203125" style="2" customWidth="1"/>
  </cols>
  <sheetData>
    <row r="1" spans="1:17" s="7" customFormat="1" ht="48" customHeight="1" x14ac:dyDescent="0.3">
      <c r="A1" s="50" t="s">
        <v>0</v>
      </c>
      <c r="B1" s="51" t="s">
        <v>1</v>
      </c>
      <c r="C1" s="51" t="s">
        <v>2</v>
      </c>
      <c r="D1" s="51" t="s">
        <v>3</v>
      </c>
      <c r="E1" s="52" t="s">
        <v>4</v>
      </c>
      <c r="F1" s="52" t="s">
        <v>736</v>
      </c>
      <c r="G1" s="53" t="s">
        <v>6</v>
      </c>
      <c r="H1" s="51" t="s">
        <v>737</v>
      </c>
      <c r="I1" s="51" t="s">
        <v>738</v>
      </c>
      <c r="J1" s="5" t="s">
        <v>5</v>
      </c>
      <c r="K1" s="6">
        <v>0.95</v>
      </c>
      <c r="L1" s="54" t="s">
        <v>7</v>
      </c>
      <c r="M1" s="55" t="s">
        <v>8</v>
      </c>
      <c r="N1" s="55" t="s">
        <v>740</v>
      </c>
      <c r="O1" s="55" t="s">
        <v>9</v>
      </c>
      <c r="P1" s="56" t="s">
        <v>739</v>
      </c>
    </row>
    <row r="2" spans="1:17" x14ac:dyDescent="0.3">
      <c r="A2" s="1">
        <v>1</v>
      </c>
      <c r="B2" s="2" t="s">
        <v>10</v>
      </c>
      <c r="C2" s="1" t="s">
        <v>11</v>
      </c>
      <c r="D2" s="2" t="s">
        <v>12</v>
      </c>
      <c r="E2" s="3">
        <v>42095</v>
      </c>
      <c r="F2" s="3">
        <v>45382</v>
      </c>
      <c r="G2" s="4">
        <v>277100</v>
      </c>
      <c r="H2" s="1">
        <f>15*12</f>
        <v>180</v>
      </c>
      <c r="I2" s="4">
        <v>160006.97298952454</v>
      </c>
      <c r="L2" s="8"/>
      <c r="M2" s="9"/>
      <c r="N2" s="9"/>
      <c r="O2" s="9"/>
      <c r="P2" s="9"/>
      <c r="Q2" s="10"/>
    </row>
    <row r="3" spans="1:17" x14ac:dyDescent="0.3">
      <c r="A3" s="1">
        <f t="shared" ref="A3:A66" si="0">A2+1</f>
        <v>2</v>
      </c>
      <c r="B3" s="2" t="s">
        <v>13</v>
      </c>
      <c r="C3" s="1" t="s">
        <v>11</v>
      </c>
      <c r="D3" s="2" t="s">
        <v>14</v>
      </c>
      <c r="E3" s="3">
        <v>42096</v>
      </c>
      <c r="F3" s="3">
        <f>F2</f>
        <v>45382</v>
      </c>
      <c r="G3" s="4">
        <v>134867</v>
      </c>
      <c r="H3" s="1">
        <f>15*12</f>
        <v>180</v>
      </c>
      <c r="I3" s="4">
        <v>77876.796918723208</v>
      </c>
      <c r="L3" s="8"/>
      <c r="M3" s="9"/>
      <c r="N3" s="9"/>
      <c r="O3" s="9"/>
      <c r="P3" s="9"/>
      <c r="Q3" s="10"/>
    </row>
    <row r="4" spans="1:17" x14ac:dyDescent="0.3">
      <c r="A4" s="1">
        <f t="shared" si="0"/>
        <v>3</v>
      </c>
      <c r="B4" s="2" t="s">
        <v>15</v>
      </c>
      <c r="C4" s="1" t="s">
        <v>11</v>
      </c>
      <c r="D4" s="2" t="s">
        <v>16</v>
      </c>
      <c r="E4" s="3">
        <v>42098</v>
      </c>
      <c r="F4" s="3">
        <f t="shared" ref="F4:F67" si="1">F3</f>
        <v>45382</v>
      </c>
      <c r="G4" s="4">
        <v>42000</v>
      </c>
      <c r="H4" s="1">
        <f>15*12</f>
        <v>180</v>
      </c>
      <c r="I4" s="4">
        <v>24252.229756622266</v>
      </c>
      <c r="L4" s="8"/>
      <c r="M4" s="9"/>
      <c r="N4" s="9"/>
      <c r="O4" s="9"/>
      <c r="P4" s="9"/>
      <c r="Q4" s="10"/>
    </row>
    <row r="5" spans="1:17" x14ac:dyDescent="0.3">
      <c r="A5" s="1">
        <f t="shared" si="0"/>
        <v>4</v>
      </c>
      <c r="B5" s="2" t="s">
        <v>15</v>
      </c>
      <c r="C5" s="1" t="s">
        <v>11</v>
      </c>
      <c r="D5" s="2" t="s">
        <v>17</v>
      </c>
      <c r="E5" s="3">
        <v>42105</v>
      </c>
      <c r="F5" s="3">
        <f t="shared" si="1"/>
        <v>45382</v>
      </c>
      <c r="G5" s="4">
        <v>111273</v>
      </c>
      <c r="H5" s="1">
        <f>15*12</f>
        <v>180</v>
      </c>
      <c r="I5" s="4">
        <v>64252.818135919748</v>
      </c>
      <c r="L5" s="8"/>
      <c r="M5" s="9"/>
      <c r="N5" s="9"/>
      <c r="O5" s="9"/>
      <c r="P5" s="9"/>
      <c r="Q5" s="10"/>
    </row>
    <row r="6" spans="1:17" x14ac:dyDescent="0.3">
      <c r="A6" s="1">
        <f t="shared" si="0"/>
        <v>5</v>
      </c>
      <c r="B6" s="2" t="s">
        <v>18</v>
      </c>
      <c r="C6" s="1" t="s">
        <v>11</v>
      </c>
      <c r="D6" s="2" t="s">
        <v>19</v>
      </c>
      <c r="E6" s="3">
        <v>42112</v>
      </c>
      <c r="F6" s="3">
        <f t="shared" si="1"/>
        <v>45382</v>
      </c>
      <c r="G6" s="4">
        <v>1577</v>
      </c>
      <c r="H6" s="1">
        <f>10*12</f>
        <v>120</v>
      </c>
      <c r="I6" s="4">
        <v>836.26501559638632</v>
      </c>
      <c r="L6" s="8"/>
      <c r="M6" s="9"/>
      <c r="N6" s="9"/>
      <c r="O6" s="9"/>
      <c r="P6" s="9"/>
      <c r="Q6" s="10"/>
    </row>
    <row r="7" spans="1:17" x14ac:dyDescent="0.3">
      <c r="A7" s="1">
        <f t="shared" si="0"/>
        <v>6</v>
      </c>
      <c r="B7" s="2" t="s">
        <v>20</v>
      </c>
      <c r="C7" s="1" t="s">
        <v>11</v>
      </c>
      <c r="D7" s="2" t="s">
        <v>21</v>
      </c>
      <c r="E7" s="3">
        <v>42115</v>
      </c>
      <c r="F7" s="3">
        <f t="shared" si="1"/>
        <v>45382</v>
      </c>
      <c r="G7" s="4">
        <v>829185</v>
      </c>
      <c r="H7" s="1">
        <f>15*12</f>
        <v>180</v>
      </c>
      <c r="I7" s="4">
        <v>427024.32127236912</v>
      </c>
      <c r="L7" s="8"/>
      <c r="M7" s="9"/>
      <c r="N7" s="9"/>
      <c r="O7" s="9"/>
      <c r="P7" s="9"/>
      <c r="Q7" s="10"/>
    </row>
    <row r="8" spans="1:17" x14ac:dyDescent="0.3">
      <c r="A8" s="1">
        <f t="shared" si="0"/>
        <v>7</v>
      </c>
      <c r="B8" s="2" t="s">
        <v>22</v>
      </c>
      <c r="C8" s="1" t="s">
        <v>11</v>
      </c>
      <c r="D8" s="2" t="s">
        <v>23</v>
      </c>
      <c r="E8" s="3">
        <v>42115</v>
      </c>
      <c r="F8" s="3">
        <f t="shared" si="1"/>
        <v>45382</v>
      </c>
      <c r="G8" s="4">
        <v>29980</v>
      </c>
      <c r="H8" s="1">
        <f>15*12</f>
        <v>180</v>
      </c>
      <c r="I8" s="4">
        <v>15439.484737116112</v>
      </c>
      <c r="L8" s="8"/>
      <c r="M8" s="9"/>
      <c r="N8" s="9"/>
      <c r="O8" s="9"/>
      <c r="P8" s="9"/>
      <c r="Q8" s="10"/>
    </row>
    <row r="9" spans="1:17" x14ac:dyDescent="0.3">
      <c r="A9" s="1">
        <f t="shared" si="0"/>
        <v>8</v>
      </c>
      <c r="B9" s="2" t="s">
        <v>24</v>
      </c>
      <c r="C9" s="1" t="s">
        <v>11</v>
      </c>
      <c r="D9" s="2" t="s">
        <v>14</v>
      </c>
      <c r="E9" s="3">
        <v>42115</v>
      </c>
      <c r="F9" s="3">
        <f t="shared" si="1"/>
        <v>45382</v>
      </c>
      <c r="G9" s="4">
        <v>60000</v>
      </c>
      <c r="H9" s="1">
        <f>15*12</f>
        <v>180</v>
      </c>
      <c r="I9" s="4">
        <v>30899.569187023575</v>
      </c>
      <c r="L9" s="8"/>
      <c r="M9" s="9"/>
      <c r="N9" s="9"/>
      <c r="O9" s="9"/>
      <c r="P9" s="9"/>
      <c r="Q9" s="10"/>
    </row>
    <row r="10" spans="1:17" x14ac:dyDescent="0.3">
      <c r="A10" s="1">
        <f t="shared" si="0"/>
        <v>9</v>
      </c>
      <c r="B10" s="2" t="s">
        <v>25</v>
      </c>
      <c r="C10" s="1" t="s">
        <v>11</v>
      </c>
      <c r="D10" s="2" t="s">
        <v>19</v>
      </c>
      <c r="E10" s="3">
        <v>42115</v>
      </c>
      <c r="F10" s="3">
        <f t="shared" si="1"/>
        <v>45382</v>
      </c>
      <c r="G10" s="4">
        <v>14544</v>
      </c>
      <c r="H10" s="1">
        <f>10*12</f>
        <v>120</v>
      </c>
      <c r="I10" s="4">
        <v>7712.5164152402313</v>
      </c>
      <c r="L10" s="8"/>
      <c r="M10" s="9"/>
      <c r="N10" s="9"/>
      <c r="O10" s="9"/>
      <c r="P10" s="9"/>
      <c r="Q10" s="10"/>
    </row>
    <row r="11" spans="1:17" x14ac:dyDescent="0.3">
      <c r="A11" s="1">
        <f t="shared" si="0"/>
        <v>10</v>
      </c>
      <c r="B11" s="2" t="s">
        <v>26</v>
      </c>
      <c r="C11" s="1" t="s">
        <v>11</v>
      </c>
      <c r="D11" s="2" t="s">
        <v>27</v>
      </c>
      <c r="E11" s="3">
        <v>42115</v>
      </c>
      <c r="F11" s="3">
        <f t="shared" si="1"/>
        <v>45382</v>
      </c>
      <c r="G11" s="4">
        <v>51000</v>
      </c>
      <c r="H11" s="1">
        <f>15*12</f>
        <v>180</v>
      </c>
      <c r="I11" s="4">
        <v>26264.63380897004</v>
      </c>
      <c r="L11" s="8"/>
      <c r="M11" s="9"/>
      <c r="N11" s="9"/>
      <c r="O11" s="9"/>
      <c r="P11" s="9"/>
      <c r="Q11" s="10"/>
    </row>
    <row r="12" spans="1:17" x14ac:dyDescent="0.3">
      <c r="A12" s="1">
        <f t="shared" si="0"/>
        <v>11</v>
      </c>
      <c r="B12" s="2" t="s">
        <v>28</v>
      </c>
      <c r="C12" s="1" t="s">
        <v>11</v>
      </c>
      <c r="D12" s="2" t="s">
        <v>19</v>
      </c>
      <c r="E12" s="3">
        <v>42115</v>
      </c>
      <c r="F12" s="3">
        <f t="shared" si="1"/>
        <v>45382</v>
      </c>
      <c r="G12" s="4">
        <v>1050006</v>
      </c>
      <c r="H12" s="1">
        <f>10*12</f>
        <v>120</v>
      </c>
      <c r="I12" s="4">
        <v>556806.14075225068</v>
      </c>
      <c r="L12" s="8"/>
      <c r="M12" s="9"/>
      <c r="N12" s="9"/>
      <c r="O12" s="9"/>
      <c r="P12" s="9"/>
      <c r="Q12" s="10"/>
    </row>
    <row r="13" spans="1:17" x14ac:dyDescent="0.3">
      <c r="A13" s="1">
        <f t="shared" si="0"/>
        <v>12</v>
      </c>
      <c r="B13" s="2" t="s">
        <v>29</v>
      </c>
      <c r="C13" s="1" t="s">
        <v>11</v>
      </c>
      <c r="D13" s="2" t="s">
        <v>30</v>
      </c>
      <c r="E13" s="3">
        <v>42115</v>
      </c>
      <c r="F13" s="3">
        <f t="shared" si="1"/>
        <v>45382</v>
      </c>
      <c r="G13" s="4">
        <v>30518</v>
      </c>
      <c r="H13" s="1">
        <f>15*12</f>
        <v>180</v>
      </c>
      <c r="I13" s="4">
        <v>15716.550874159757</v>
      </c>
      <c r="L13" s="8"/>
      <c r="M13" s="9"/>
      <c r="N13" s="9"/>
      <c r="O13" s="9"/>
      <c r="P13" s="9"/>
      <c r="Q13" s="10"/>
    </row>
    <row r="14" spans="1:17" x14ac:dyDescent="0.3">
      <c r="A14" s="1">
        <f t="shared" si="0"/>
        <v>13</v>
      </c>
      <c r="B14" s="2" t="s">
        <v>31</v>
      </c>
      <c r="C14" s="1" t="s">
        <v>11</v>
      </c>
      <c r="D14" s="2" t="s">
        <v>32</v>
      </c>
      <c r="E14" s="3">
        <v>42115</v>
      </c>
      <c r="F14" s="3">
        <f t="shared" si="1"/>
        <v>45382</v>
      </c>
      <c r="G14" s="4">
        <v>147569</v>
      </c>
      <c r="H14" s="1">
        <f>15*12</f>
        <v>180</v>
      </c>
      <c r="I14" s="4">
        <v>75996.975422664706</v>
      </c>
      <c r="L14" s="8"/>
      <c r="M14" s="9"/>
      <c r="N14" s="9"/>
      <c r="O14" s="9"/>
      <c r="P14" s="9"/>
      <c r="Q14" s="10"/>
    </row>
    <row r="15" spans="1:17" x14ac:dyDescent="0.3">
      <c r="A15" s="1">
        <f t="shared" si="0"/>
        <v>14</v>
      </c>
      <c r="B15" s="2" t="s">
        <v>33</v>
      </c>
      <c r="C15" s="1" t="s">
        <v>11</v>
      </c>
      <c r="D15" s="2" t="s">
        <v>19</v>
      </c>
      <c r="E15" s="3">
        <v>42115</v>
      </c>
      <c r="F15" s="3">
        <f t="shared" si="1"/>
        <v>45382</v>
      </c>
      <c r="G15" s="4">
        <v>10519</v>
      </c>
      <c r="H15" s="1">
        <f>10*12</f>
        <v>120</v>
      </c>
      <c r="I15" s="4">
        <v>5578.1050723261815</v>
      </c>
      <c r="L15" s="8"/>
      <c r="M15" s="9"/>
      <c r="N15" s="9"/>
      <c r="O15" s="9"/>
      <c r="P15" s="9"/>
      <c r="Q15" s="10"/>
    </row>
    <row r="16" spans="1:17" x14ac:dyDescent="0.3">
      <c r="A16" s="1">
        <f t="shared" si="0"/>
        <v>15</v>
      </c>
      <c r="B16" s="2" t="s">
        <v>34</v>
      </c>
      <c r="C16" s="1" t="s">
        <v>11</v>
      </c>
      <c r="D16" s="2" t="s">
        <v>19</v>
      </c>
      <c r="E16" s="3">
        <v>42115</v>
      </c>
      <c r="F16" s="3">
        <f t="shared" si="1"/>
        <v>45382</v>
      </c>
      <c r="G16" s="4">
        <v>2572</v>
      </c>
      <c r="H16" s="1">
        <f>10*12</f>
        <v>120</v>
      </c>
      <c r="I16" s="4">
        <v>1363.9021053353877</v>
      </c>
      <c r="L16" s="8"/>
      <c r="M16" s="9"/>
      <c r="N16" s="9"/>
      <c r="O16" s="9"/>
      <c r="P16" s="9"/>
      <c r="Q16" s="10"/>
    </row>
    <row r="17" spans="1:17" x14ac:dyDescent="0.3">
      <c r="A17" s="1">
        <f t="shared" si="0"/>
        <v>16</v>
      </c>
      <c r="B17" s="2" t="s">
        <v>35</v>
      </c>
      <c r="C17" s="1" t="s">
        <v>11</v>
      </c>
      <c r="D17" s="2" t="s">
        <v>19</v>
      </c>
      <c r="E17" s="3">
        <v>42115</v>
      </c>
      <c r="F17" s="3">
        <f t="shared" si="1"/>
        <v>45382</v>
      </c>
      <c r="G17" s="4">
        <v>1167</v>
      </c>
      <c r="H17" s="1">
        <f>10*12</f>
        <v>120</v>
      </c>
      <c r="I17" s="4">
        <v>618.84671731197398</v>
      </c>
      <c r="L17" s="8"/>
      <c r="M17" s="9"/>
      <c r="N17" s="9"/>
      <c r="O17" s="9"/>
      <c r="P17" s="9"/>
      <c r="Q17" s="10"/>
    </row>
    <row r="18" spans="1:17" x14ac:dyDescent="0.3">
      <c r="A18" s="1">
        <f t="shared" si="0"/>
        <v>17</v>
      </c>
      <c r="B18" s="2" t="s">
        <v>36</v>
      </c>
      <c r="C18" s="1" t="s">
        <v>11</v>
      </c>
      <c r="D18" s="2" t="s">
        <v>37</v>
      </c>
      <c r="E18" s="3">
        <v>42115</v>
      </c>
      <c r="F18" s="3">
        <f t="shared" si="1"/>
        <v>45382</v>
      </c>
      <c r="G18" s="4">
        <v>56400</v>
      </c>
      <c r="H18" s="1">
        <f t="shared" ref="H18:H40" si="2">15*12</f>
        <v>180</v>
      </c>
      <c r="I18" s="4">
        <v>29045.595035802162</v>
      </c>
      <c r="L18" s="8"/>
      <c r="M18" s="9"/>
      <c r="N18" s="9"/>
      <c r="O18" s="9"/>
      <c r="P18" s="9"/>
      <c r="Q18" s="10"/>
    </row>
    <row r="19" spans="1:17" x14ac:dyDescent="0.3">
      <c r="A19" s="1">
        <f t="shared" si="0"/>
        <v>18</v>
      </c>
      <c r="B19" s="2" t="s">
        <v>38</v>
      </c>
      <c r="C19" s="1" t="s">
        <v>11</v>
      </c>
      <c r="D19" s="2" t="s">
        <v>14</v>
      </c>
      <c r="E19" s="3">
        <v>42115</v>
      </c>
      <c r="F19" s="3">
        <f t="shared" si="1"/>
        <v>45382</v>
      </c>
      <c r="G19" s="4">
        <v>328320</v>
      </c>
      <c r="H19" s="1">
        <f t="shared" si="2"/>
        <v>180</v>
      </c>
      <c r="I19" s="4">
        <v>169082.44259139302</v>
      </c>
      <c r="L19" s="8"/>
      <c r="M19" s="9"/>
      <c r="N19" s="9"/>
      <c r="O19" s="9"/>
      <c r="P19" s="9"/>
      <c r="Q19" s="10"/>
    </row>
    <row r="20" spans="1:17" x14ac:dyDescent="0.3">
      <c r="A20" s="1">
        <f t="shared" si="0"/>
        <v>19</v>
      </c>
      <c r="B20" s="2" t="s">
        <v>39</v>
      </c>
      <c r="C20" s="1" t="s">
        <v>11</v>
      </c>
      <c r="D20" s="2" t="s">
        <v>14</v>
      </c>
      <c r="E20" s="3">
        <v>42115</v>
      </c>
      <c r="F20" s="3">
        <f t="shared" si="1"/>
        <v>45382</v>
      </c>
      <c r="G20" s="4">
        <v>181680</v>
      </c>
      <c r="H20" s="1">
        <f t="shared" si="2"/>
        <v>180</v>
      </c>
      <c r="I20" s="4">
        <v>93563.895498307393</v>
      </c>
      <c r="L20" s="8"/>
      <c r="M20" s="9"/>
      <c r="N20" s="9"/>
      <c r="O20" s="9"/>
      <c r="P20" s="9"/>
      <c r="Q20" s="10"/>
    </row>
    <row r="21" spans="1:17" x14ac:dyDescent="0.3">
      <c r="A21" s="1">
        <f t="shared" si="0"/>
        <v>20</v>
      </c>
      <c r="B21" s="2" t="s">
        <v>40</v>
      </c>
      <c r="C21" s="1" t="s">
        <v>11</v>
      </c>
      <c r="D21" s="2" t="s">
        <v>14</v>
      </c>
      <c r="E21" s="3">
        <v>42115</v>
      </c>
      <c r="F21" s="3">
        <f t="shared" si="1"/>
        <v>45382</v>
      </c>
      <c r="G21" s="4">
        <v>600000</v>
      </c>
      <c r="H21" s="1">
        <f t="shared" si="2"/>
        <v>180</v>
      </c>
      <c r="I21" s="4">
        <v>308995.69187023578</v>
      </c>
      <c r="L21" s="8"/>
      <c r="M21" s="9"/>
      <c r="N21" s="9"/>
      <c r="O21" s="9"/>
      <c r="P21" s="9"/>
      <c r="Q21" s="10"/>
    </row>
    <row r="22" spans="1:17" x14ac:dyDescent="0.3">
      <c r="A22" s="1">
        <f t="shared" si="0"/>
        <v>21</v>
      </c>
      <c r="B22" s="2" t="s">
        <v>41</v>
      </c>
      <c r="C22" s="1" t="s">
        <v>11</v>
      </c>
      <c r="D22" s="2" t="s">
        <v>42</v>
      </c>
      <c r="E22" s="3">
        <v>42115</v>
      </c>
      <c r="F22" s="3">
        <f t="shared" si="1"/>
        <v>45382</v>
      </c>
      <c r="G22" s="4">
        <v>9800</v>
      </c>
      <c r="H22" s="1">
        <f t="shared" si="2"/>
        <v>180</v>
      </c>
      <c r="I22" s="4">
        <v>5046.929633880517</v>
      </c>
      <c r="L22" s="8"/>
      <c r="M22" s="9"/>
      <c r="N22" s="9"/>
      <c r="O22" s="9"/>
      <c r="P22" s="9"/>
      <c r="Q22" s="10"/>
    </row>
    <row r="23" spans="1:17" x14ac:dyDescent="0.3">
      <c r="A23" s="1">
        <f t="shared" si="0"/>
        <v>22</v>
      </c>
      <c r="B23" s="2" t="s">
        <v>41</v>
      </c>
      <c r="C23" s="1" t="s">
        <v>11</v>
      </c>
      <c r="D23" s="2" t="s">
        <v>42</v>
      </c>
      <c r="E23" s="3">
        <v>42115</v>
      </c>
      <c r="F23" s="3">
        <f t="shared" si="1"/>
        <v>45382</v>
      </c>
      <c r="G23" s="4">
        <v>9800</v>
      </c>
      <c r="H23" s="1">
        <f t="shared" si="2"/>
        <v>180</v>
      </c>
      <c r="I23" s="4">
        <v>5046.929633880517</v>
      </c>
      <c r="L23" s="8"/>
      <c r="M23" s="9"/>
      <c r="N23" s="9"/>
      <c r="O23" s="9"/>
      <c r="P23" s="9"/>
      <c r="Q23" s="10"/>
    </row>
    <row r="24" spans="1:17" x14ac:dyDescent="0.3">
      <c r="A24" s="1">
        <f t="shared" si="0"/>
        <v>23</v>
      </c>
      <c r="B24" s="2" t="s">
        <v>43</v>
      </c>
      <c r="C24" s="1" t="s">
        <v>11</v>
      </c>
      <c r="D24" s="2" t="s">
        <v>44</v>
      </c>
      <c r="E24" s="3">
        <v>42115</v>
      </c>
      <c r="F24" s="3">
        <f t="shared" si="1"/>
        <v>45382</v>
      </c>
      <c r="G24" s="4">
        <v>45500</v>
      </c>
      <c r="H24" s="1">
        <f t="shared" si="2"/>
        <v>180</v>
      </c>
      <c r="I24" s="4">
        <v>23432.173300159546</v>
      </c>
      <c r="L24" s="8"/>
      <c r="M24" s="9"/>
      <c r="N24" s="9"/>
      <c r="O24" s="9"/>
      <c r="P24" s="9"/>
      <c r="Q24" s="10"/>
    </row>
    <row r="25" spans="1:17" x14ac:dyDescent="0.3">
      <c r="A25" s="1">
        <f t="shared" si="0"/>
        <v>24</v>
      </c>
      <c r="B25" s="2" t="s">
        <v>45</v>
      </c>
      <c r="C25" s="1" t="s">
        <v>11</v>
      </c>
      <c r="D25" s="2" t="s">
        <v>16</v>
      </c>
      <c r="E25" s="3">
        <v>42115</v>
      </c>
      <c r="F25" s="3">
        <f t="shared" si="1"/>
        <v>45382</v>
      </c>
      <c r="G25" s="4">
        <v>7770</v>
      </c>
      <c r="H25" s="1">
        <f t="shared" si="2"/>
        <v>180</v>
      </c>
      <c r="I25" s="4">
        <v>4001.4942097195531</v>
      </c>
      <c r="L25" s="8"/>
      <c r="M25" s="9"/>
      <c r="N25" s="9"/>
      <c r="O25" s="9"/>
      <c r="P25" s="9"/>
      <c r="Q25" s="10"/>
    </row>
    <row r="26" spans="1:17" x14ac:dyDescent="0.3">
      <c r="A26" s="1">
        <f t="shared" si="0"/>
        <v>25</v>
      </c>
      <c r="B26" s="2" t="s">
        <v>46</v>
      </c>
      <c r="C26" s="1" t="s">
        <v>11</v>
      </c>
      <c r="D26" s="2" t="s">
        <v>21</v>
      </c>
      <c r="E26" s="3">
        <v>42116</v>
      </c>
      <c r="F26" s="3">
        <f t="shared" si="1"/>
        <v>45382</v>
      </c>
      <c r="G26" s="4">
        <v>119943</v>
      </c>
      <c r="H26" s="1">
        <f t="shared" si="2"/>
        <v>180</v>
      </c>
      <c r="I26" s="4">
        <v>61769.783783319479</v>
      </c>
      <c r="L26" s="8"/>
      <c r="M26" s="9"/>
      <c r="N26" s="9"/>
      <c r="O26" s="9"/>
      <c r="P26" s="9"/>
      <c r="Q26" s="10"/>
    </row>
    <row r="27" spans="1:17" x14ac:dyDescent="0.3">
      <c r="A27" s="1">
        <f t="shared" si="0"/>
        <v>26</v>
      </c>
      <c r="B27" s="2" t="s">
        <v>47</v>
      </c>
      <c r="C27" s="1" t="s">
        <v>11</v>
      </c>
      <c r="D27" s="2" t="s">
        <v>21</v>
      </c>
      <c r="E27" s="3">
        <v>42116</v>
      </c>
      <c r="F27" s="3">
        <f t="shared" si="1"/>
        <v>45382</v>
      </c>
      <c r="G27" s="4">
        <v>1061905</v>
      </c>
      <c r="H27" s="1">
        <f t="shared" si="2"/>
        <v>180</v>
      </c>
      <c r="I27" s="4">
        <v>546873.4502924378</v>
      </c>
      <c r="L27" s="8"/>
      <c r="M27" s="9"/>
      <c r="N27" s="9"/>
      <c r="O27" s="9"/>
      <c r="P27" s="9"/>
      <c r="Q27" s="10"/>
    </row>
    <row r="28" spans="1:17" x14ac:dyDescent="0.3">
      <c r="A28" s="1">
        <f t="shared" si="0"/>
        <v>27</v>
      </c>
      <c r="B28" s="2" t="s">
        <v>48</v>
      </c>
      <c r="C28" s="1" t="s">
        <v>11</v>
      </c>
      <c r="D28" s="2" t="s">
        <v>21</v>
      </c>
      <c r="E28" s="3">
        <v>42116</v>
      </c>
      <c r="F28" s="3">
        <f t="shared" si="1"/>
        <v>45382</v>
      </c>
      <c r="G28" s="4">
        <v>767903</v>
      </c>
      <c r="H28" s="1">
        <f t="shared" si="2"/>
        <v>180</v>
      </c>
      <c r="I28" s="4">
        <v>395464.53129038273</v>
      </c>
      <c r="L28" s="8"/>
      <c r="M28" s="9"/>
      <c r="N28" s="9"/>
      <c r="O28" s="9"/>
      <c r="P28" s="9"/>
      <c r="Q28" s="10"/>
    </row>
    <row r="29" spans="1:17" x14ac:dyDescent="0.3">
      <c r="A29" s="1">
        <f t="shared" si="0"/>
        <v>28</v>
      </c>
      <c r="B29" s="2" t="s">
        <v>49</v>
      </c>
      <c r="C29" s="1" t="s">
        <v>11</v>
      </c>
      <c r="D29" s="2" t="s">
        <v>21</v>
      </c>
      <c r="E29" s="3">
        <v>42116</v>
      </c>
      <c r="F29" s="3">
        <f t="shared" si="1"/>
        <v>45382</v>
      </c>
      <c r="G29" s="4">
        <v>727222</v>
      </c>
      <c r="H29" s="1">
        <f t="shared" si="2"/>
        <v>180</v>
      </c>
      <c r="I29" s="4">
        <v>374514.108388761</v>
      </c>
      <c r="L29" s="8"/>
      <c r="M29" s="9"/>
      <c r="N29" s="9"/>
      <c r="O29" s="9"/>
      <c r="P29" s="9"/>
      <c r="Q29" s="10"/>
    </row>
    <row r="30" spans="1:17" x14ac:dyDescent="0.3">
      <c r="A30" s="1">
        <f t="shared" si="0"/>
        <v>29</v>
      </c>
      <c r="B30" s="2" t="s">
        <v>50</v>
      </c>
      <c r="C30" s="1" t="s">
        <v>11</v>
      </c>
      <c r="D30" s="2" t="s">
        <v>21</v>
      </c>
      <c r="E30" s="3">
        <v>42116</v>
      </c>
      <c r="F30" s="3">
        <f t="shared" si="1"/>
        <v>45382</v>
      </c>
      <c r="G30" s="4">
        <v>23623</v>
      </c>
      <c r="H30" s="1">
        <f t="shared" si="2"/>
        <v>180</v>
      </c>
      <c r="I30" s="4">
        <v>12165.675381750967</v>
      </c>
      <c r="L30" s="8"/>
      <c r="M30" s="9"/>
      <c r="N30" s="9"/>
      <c r="O30" s="9"/>
      <c r="P30" s="9"/>
      <c r="Q30" s="10"/>
    </row>
    <row r="31" spans="1:17" x14ac:dyDescent="0.3">
      <c r="A31" s="1">
        <f t="shared" si="0"/>
        <v>30</v>
      </c>
      <c r="B31" s="2" t="s">
        <v>51</v>
      </c>
      <c r="C31" s="1" t="s">
        <v>11</v>
      </c>
      <c r="D31" s="2" t="s">
        <v>21</v>
      </c>
      <c r="E31" s="3">
        <v>42116</v>
      </c>
      <c r="F31" s="3">
        <f t="shared" si="1"/>
        <v>45382</v>
      </c>
      <c r="G31" s="4">
        <v>214751</v>
      </c>
      <c r="H31" s="1">
        <f t="shared" si="2"/>
        <v>180</v>
      </c>
      <c r="I31" s="4">
        <v>110595.22304137498</v>
      </c>
      <c r="L31" s="8"/>
      <c r="M31" s="9"/>
      <c r="N31" s="9"/>
      <c r="O31" s="9"/>
      <c r="P31" s="9"/>
      <c r="Q31" s="10"/>
    </row>
    <row r="32" spans="1:17" x14ac:dyDescent="0.3">
      <c r="A32" s="1">
        <f t="shared" si="0"/>
        <v>31</v>
      </c>
      <c r="B32" s="2" t="s">
        <v>52</v>
      </c>
      <c r="C32" s="1" t="s">
        <v>11</v>
      </c>
      <c r="D32" s="2" t="s">
        <v>21</v>
      </c>
      <c r="E32" s="3">
        <v>42116</v>
      </c>
      <c r="F32" s="3">
        <f t="shared" si="1"/>
        <v>45382</v>
      </c>
      <c r="G32" s="4">
        <v>394204</v>
      </c>
      <c r="H32" s="1">
        <f t="shared" si="2"/>
        <v>180</v>
      </c>
      <c r="I32" s="4">
        <v>183976.34751670569</v>
      </c>
      <c r="L32" s="8"/>
      <c r="M32" s="9"/>
      <c r="N32" s="9"/>
      <c r="O32" s="9"/>
      <c r="P32" s="9"/>
      <c r="Q32" s="10"/>
    </row>
    <row r="33" spans="1:17" x14ac:dyDescent="0.3">
      <c r="A33" s="1">
        <f t="shared" si="0"/>
        <v>32</v>
      </c>
      <c r="B33" s="2" t="s">
        <v>53</v>
      </c>
      <c r="C33" s="1" t="s">
        <v>11</v>
      </c>
      <c r="D33" s="2" t="s">
        <v>16</v>
      </c>
      <c r="E33" s="3">
        <v>42116</v>
      </c>
      <c r="F33" s="3">
        <f t="shared" si="1"/>
        <v>45382</v>
      </c>
      <c r="G33" s="4">
        <v>4600</v>
      </c>
      <c r="H33" s="1">
        <f t="shared" si="2"/>
        <v>180</v>
      </c>
      <c r="I33" s="4">
        <v>2368.9669710051407</v>
      </c>
      <c r="L33" s="8"/>
      <c r="M33" s="9"/>
      <c r="N33" s="9"/>
      <c r="O33" s="9"/>
      <c r="P33" s="9"/>
      <c r="Q33" s="10"/>
    </row>
    <row r="34" spans="1:17" x14ac:dyDescent="0.3">
      <c r="A34" s="1">
        <f t="shared" si="0"/>
        <v>33</v>
      </c>
      <c r="B34" s="2" t="s">
        <v>54</v>
      </c>
      <c r="C34" s="1" t="s">
        <v>11</v>
      </c>
      <c r="D34" s="2" t="s">
        <v>16</v>
      </c>
      <c r="E34" s="3">
        <v>42116</v>
      </c>
      <c r="F34" s="3">
        <f t="shared" si="1"/>
        <v>45382</v>
      </c>
      <c r="G34" s="4">
        <v>4600</v>
      </c>
      <c r="H34" s="1">
        <f t="shared" si="2"/>
        <v>180</v>
      </c>
      <c r="I34" s="4">
        <v>2368.9669710051407</v>
      </c>
      <c r="L34" s="8"/>
      <c r="M34" s="9"/>
      <c r="N34" s="9"/>
      <c r="O34" s="9"/>
      <c r="P34" s="9"/>
      <c r="Q34" s="10"/>
    </row>
    <row r="35" spans="1:17" x14ac:dyDescent="0.3">
      <c r="A35" s="1">
        <f t="shared" si="0"/>
        <v>34</v>
      </c>
      <c r="B35" s="2" t="s">
        <v>55</v>
      </c>
      <c r="C35" s="1" t="s">
        <v>11</v>
      </c>
      <c r="D35" s="2" t="s">
        <v>14</v>
      </c>
      <c r="E35" s="3">
        <v>42117</v>
      </c>
      <c r="F35" s="3">
        <f t="shared" si="1"/>
        <v>45382</v>
      </c>
      <c r="G35" s="4">
        <v>34733</v>
      </c>
      <c r="H35" s="1">
        <f t="shared" si="2"/>
        <v>180</v>
      </c>
      <c r="I35" s="4">
        <v>17887.245609548165</v>
      </c>
      <c r="L35" s="8"/>
      <c r="M35" s="9"/>
      <c r="N35" s="9"/>
      <c r="O35" s="9"/>
      <c r="P35" s="9"/>
      <c r="Q35" s="10"/>
    </row>
    <row r="36" spans="1:17" x14ac:dyDescent="0.3">
      <c r="A36" s="1">
        <f t="shared" si="0"/>
        <v>35</v>
      </c>
      <c r="B36" s="2" t="s">
        <v>56</v>
      </c>
      <c r="C36" s="1" t="s">
        <v>11</v>
      </c>
      <c r="D36" s="2" t="s">
        <v>14</v>
      </c>
      <c r="E36" s="3">
        <v>42125</v>
      </c>
      <c r="F36" s="3">
        <f t="shared" si="1"/>
        <v>45382</v>
      </c>
      <c r="G36" s="4">
        <v>120000</v>
      </c>
      <c r="H36" s="1">
        <f t="shared" si="2"/>
        <v>180</v>
      </c>
      <c r="I36" s="4">
        <v>61136.58100512794</v>
      </c>
      <c r="L36" s="8"/>
      <c r="M36" s="9"/>
      <c r="N36" s="9"/>
      <c r="O36" s="9"/>
      <c r="P36" s="9"/>
      <c r="Q36" s="10"/>
    </row>
    <row r="37" spans="1:17" x14ac:dyDescent="0.3">
      <c r="A37" s="1">
        <f t="shared" si="0"/>
        <v>36</v>
      </c>
      <c r="B37" s="2" t="s">
        <v>57</v>
      </c>
      <c r="C37" s="1" t="s">
        <v>11</v>
      </c>
      <c r="D37" s="2" t="s">
        <v>21</v>
      </c>
      <c r="E37" s="3">
        <v>42125</v>
      </c>
      <c r="F37" s="3">
        <f t="shared" si="1"/>
        <v>45382</v>
      </c>
      <c r="G37" s="4">
        <v>294289</v>
      </c>
      <c r="H37" s="1">
        <f t="shared" si="2"/>
        <v>180</v>
      </c>
      <c r="I37" s="4">
        <v>149931.86072848414</v>
      </c>
      <c r="L37" s="8"/>
      <c r="M37" s="9"/>
      <c r="N37" s="9"/>
      <c r="O37" s="9"/>
      <c r="P37" s="9"/>
      <c r="Q37" s="10"/>
    </row>
    <row r="38" spans="1:17" x14ac:dyDescent="0.3">
      <c r="A38" s="1">
        <f t="shared" si="0"/>
        <v>37</v>
      </c>
      <c r="B38" s="2" t="s">
        <v>58</v>
      </c>
      <c r="C38" s="1" t="s">
        <v>11</v>
      </c>
      <c r="D38" s="2" t="s">
        <v>21</v>
      </c>
      <c r="E38" s="3">
        <v>42125</v>
      </c>
      <c r="F38" s="3">
        <f t="shared" si="1"/>
        <v>45382</v>
      </c>
      <c r="G38" s="4">
        <v>116920</v>
      </c>
      <c r="H38" s="1">
        <f t="shared" si="2"/>
        <v>180</v>
      </c>
      <c r="I38" s="4">
        <v>59567.408759329664</v>
      </c>
      <c r="L38" s="8"/>
      <c r="M38" s="9"/>
      <c r="N38" s="9"/>
      <c r="O38" s="9"/>
      <c r="P38" s="9"/>
      <c r="Q38" s="10"/>
    </row>
    <row r="39" spans="1:17" x14ac:dyDescent="0.3">
      <c r="A39" s="1">
        <f t="shared" si="0"/>
        <v>38</v>
      </c>
      <c r="B39" s="2" t="s">
        <v>59</v>
      </c>
      <c r="C39" s="1" t="s">
        <v>11</v>
      </c>
      <c r="D39" s="2" t="s">
        <v>21</v>
      </c>
      <c r="E39" s="3">
        <v>42125</v>
      </c>
      <c r="F39" s="3">
        <f t="shared" si="1"/>
        <v>45382</v>
      </c>
      <c r="G39" s="4">
        <v>68932</v>
      </c>
      <c r="H39" s="1">
        <f t="shared" si="2"/>
        <v>180</v>
      </c>
      <c r="I39" s="4">
        <v>35118.890015378995</v>
      </c>
      <c r="L39" s="8"/>
      <c r="M39" s="9"/>
      <c r="N39" s="9"/>
      <c r="O39" s="9"/>
      <c r="P39" s="9"/>
      <c r="Q39" s="10"/>
    </row>
    <row r="40" spans="1:17" x14ac:dyDescent="0.3">
      <c r="A40" s="1">
        <f t="shared" si="0"/>
        <v>39</v>
      </c>
      <c r="B40" s="2" t="s">
        <v>60</v>
      </c>
      <c r="C40" s="1" t="s">
        <v>11</v>
      </c>
      <c r="D40" s="2" t="s">
        <v>61</v>
      </c>
      <c r="E40" s="3">
        <v>42125</v>
      </c>
      <c r="F40" s="3">
        <f t="shared" si="1"/>
        <v>45382</v>
      </c>
      <c r="G40" s="4">
        <v>10000</v>
      </c>
      <c r="H40" s="1">
        <f t="shared" si="2"/>
        <v>180</v>
      </c>
      <c r="I40" s="4">
        <v>5094.7150837606614</v>
      </c>
      <c r="L40" s="8"/>
      <c r="M40" s="9"/>
      <c r="N40" s="9"/>
      <c r="O40" s="9"/>
      <c r="P40" s="9"/>
      <c r="Q40" s="10"/>
    </row>
    <row r="41" spans="1:17" x14ac:dyDescent="0.3">
      <c r="A41" s="1">
        <f t="shared" si="0"/>
        <v>40</v>
      </c>
      <c r="B41" s="2" t="s">
        <v>62</v>
      </c>
      <c r="C41" s="1" t="s">
        <v>11</v>
      </c>
      <c r="D41" s="2" t="s">
        <v>19</v>
      </c>
      <c r="E41" s="3">
        <v>42125</v>
      </c>
      <c r="F41" s="3">
        <f t="shared" si="1"/>
        <v>45382</v>
      </c>
      <c r="G41" s="4">
        <v>12038</v>
      </c>
      <c r="H41" s="1">
        <f>10*12</f>
        <v>120</v>
      </c>
      <c r="I41" s="4">
        <v>6301.4243763175346</v>
      </c>
      <c r="L41" s="8"/>
      <c r="M41" s="9"/>
      <c r="N41" s="9"/>
      <c r="O41" s="9"/>
      <c r="P41" s="9"/>
      <c r="Q41" s="10"/>
    </row>
    <row r="42" spans="1:17" x14ac:dyDescent="0.3">
      <c r="A42" s="1">
        <f t="shared" si="0"/>
        <v>41</v>
      </c>
      <c r="B42" s="2" t="s">
        <v>63</v>
      </c>
      <c r="C42" s="1" t="s">
        <v>11</v>
      </c>
      <c r="D42" s="2" t="s">
        <v>61</v>
      </c>
      <c r="E42" s="3">
        <v>42125</v>
      </c>
      <c r="F42" s="3">
        <f t="shared" si="1"/>
        <v>45382</v>
      </c>
      <c r="G42" s="4">
        <v>142000</v>
      </c>
      <c r="H42" s="1">
        <f>15*12</f>
        <v>180</v>
      </c>
      <c r="I42" s="4">
        <v>72344.954189401396</v>
      </c>
      <c r="L42" s="8"/>
      <c r="M42" s="9"/>
      <c r="N42" s="9"/>
      <c r="O42" s="9"/>
      <c r="P42" s="9"/>
      <c r="Q42" s="10"/>
    </row>
    <row r="43" spans="1:17" x14ac:dyDescent="0.3">
      <c r="A43" s="1">
        <f t="shared" si="0"/>
        <v>42</v>
      </c>
      <c r="B43" s="2" t="s">
        <v>64</v>
      </c>
      <c r="C43" s="1" t="s">
        <v>11</v>
      </c>
      <c r="D43" s="2" t="s">
        <v>19</v>
      </c>
      <c r="E43" s="3">
        <v>42125</v>
      </c>
      <c r="F43" s="3">
        <f t="shared" si="1"/>
        <v>45382</v>
      </c>
      <c r="G43" s="4">
        <v>7060</v>
      </c>
      <c r="H43" s="1">
        <f>10*12</f>
        <v>120</v>
      </c>
      <c r="I43" s="4">
        <v>3695.6351633827708</v>
      </c>
      <c r="L43" s="8"/>
      <c r="M43" s="9"/>
      <c r="N43" s="9"/>
      <c r="O43" s="9"/>
      <c r="P43" s="9"/>
      <c r="Q43" s="10"/>
    </row>
    <row r="44" spans="1:17" x14ac:dyDescent="0.3">
      <c r="A44" s="1">
        <f t="shared" si="0"/>
        <v>43</v>
      </c>
      <c r="B44" s="2" t="s">
        <v>65</v>
      </c>
      <c r="C44" s="1" t="s">
        <v>11</v>
      </c>
      <c r="D44" s="2" t="s">
        <v>42</v>
      </c>
      <c r="E44" s="3">
        <v>42125</v>
      </c>
      <c r="F44" s="3">
        <f t="shared" si="1"/>
        <v>45382</v>
      </c>
      <c r="G44" s="4">
        <v>25500</v>
      </c>
      <c r="H44" s="1">
        <f>15*12</f>
        <v>180</v>
      </c>
      <c r="I44" s="4">
        <v>12991.523463589689</v>
      </c>
      <c r="L44" s="8"/>
      <c r="M44" s="9"/>
      <c r="N44" s="9"/>
      <c r="O44" s="9"/>
      <c r="P44" s="9"/>
      <c r="Q44" s="10"/>
    </row>
    <row r="45" spans="1:17" x14ac:dyDescent="0.3">
      <c r="A45" s="1">
        <f t="shared" si="0"/>
        <v>44</v>
      </c>
      <c r="B45" s="2" t="s">
        <v>66</v>
      </c>
      <c r="C45" s="1" t="s">
        <v>11</v>
      </c>
      <c r="D45" s="2" t="s">
        <v>21</v>
      </c>
      <c r="E45" s="3">
        <v>42129</v>
      </c>
      <c r="F45" s="3">
        <f t="shared" si="1"/>
        <v>45382</v>
      </c>
      <c r="G45" s="4">
        <v>625165</v>
      </c>
      <c r="H45" s="1">
        <f>15*12</f>
        <v>180</v>
      </c>
      <c r="I45" s="4">
        <v>318503.75553392339</v>
      </c>
      <c r="L45" s="8"/>
      <c r="M45" s="9"/>
      <c r="N45" s="9"/>
      <c r="O45" s="9"/>
      <c r="P45" s="9"/>
      <c r="Q45" s="10"/>
    </row>
    <row r="46" spans="1:17" x14ac:dyDescent="0.3">
      <c r="A46" s="1">
        <f t="shared" si="0"/>
        <v>45</v>
      </c>
      <c r="B46" s="2" t="s">
        <v>67</v>
      </c>
      <c r="C46" s="1" t="s">
        <v>11</v>
      </c>
      <c r="D46" s="2" t="s">
        <v>17</v>
      </c>
      <c r="E46" s="3">
        <v>42130</v>
      </c>
      <c r="F46" s="3">
        <f t="shared" si="1"/>
        <v>45382</v>
      </c>
      <c r="G46" s="4">
        <v>159</v>
      </c>
      <c r="H46" s="1">
        <f>15*12</f>
        <v>180</v>
      </c>
      <c r="I46" s="4">
        <v>81.005969831794516</v>
      </c>
      <c r="L46" s="8"/>
      <c r="M46" s="9"/>
      <c r="N46" s="9"/>
      <c r="O46" s="9"/>
      <c r="P46" s="9"/>
      <c r="Q46" s="10"/>
    </row>
    <row r="47" spans="1:17" x14ac:dyDescent="0.3">
      <c r="A47" s="1">
        <f t="shared" si="0"/>
        <v>46</v>
      </c>
      <c r="B47" s="2" t="s">
        <v>68</v>
      </c>
      <c r="C47" s="1" t="s">
        <v>11</v>
      </c>
      <c r="D47" s="2" t="s">
        <v>19</v>
      </c>
      <c r="E47" s="3">
        <v>42132</v>
      </c>
      <c r="F47" s="3">
        <f t="shared" si="1"/>
        <v>45382</v>
      </c>
      <c r="G47" s="4">
        <v>1314</v>
      </c>
      <c r="H47" s="1">
        <f>10*12</f>
        <v>120</v>
      </c>
      <c r="I47" s="4">
        <v>687.82784768908789</v>
      </c>
      <c r="L47" s="8"/>
      <c r="M47" s="9"/>
      <c r="N47" s="9"/>
      <c r="O47" s="9"/>
      <c r="P47" s="9"/>
      <c r="Q47" s="10"/>
    </row>
    <row r="48" spans="1:17" x14ac:dyDescent="0.3">
      <c r="A48" s="1">
        <f t="shared" si="0"/>
        <v>47</v>
      </c>
      <c r="B48" s="2" t="s">
        <v>69</v>
      </c>
      <c r="C48" s="1" t="s">
        <v>11</v>
      </c>
      <c r="D48" s="2" t="s">
        <v>12</v>
      </c>
      <c r="E48" s="3">
        <v>42132</v>
      </c>
      <c r="F48" s="3">
        <f t="shared" si="1"/>
        <v>45382</v>
      </c>
      <c r="G48" s="4">
        <v>14228</v>
      </c>
      <c r="H48" s="1">
        <f>15*12</f>
        <v>180</v>
      </c>
      <c r="I48" s="4">
        <v>7248.7606211746697</v>
      </c>
      <c r="L48" s="8"/>
      <c r="M48" s="9"/>
      <c r="N48" s="9"/>
      <c r="O48" s="9"/>
      <c r="P48" s="9"/>
      <c r="Q48" s="10"/>
    </row>
    <row r="49" spans="1:17" x14ac:dyDescent="0.3">
      <c r="A49" s="1">
        <f t="shared" si="0"/>
        <v>48</v>
      </c>
      <c r="B49" s="2" t="s">
        <v>70</v>
      </c>
      <c r="C49" s="1" t="s">
        <v>11</v>
      </c>
      <c r="D49" s="2" t="s">
        <v>19</v>
      </c>
      <c r="E49" s="3">
        <v>42132</v>
      </c>
      <c r="F49" s="3">
        <f t="shared" si="1"/>
        <v>45382</v>
      </c>
      <c r="G49" s="4">
        <v>24281</v>
      </c>
      <c r="H49" s="1">
        <f>10*12</f>
        <v>120</v>
      </c>
      <c r="I49" s="4">
        <v>12710.158272251709</v>
      </c>
      <c r="L49" s="8"/>
      <c r="M49" s="9"/>
      <c r="N49" s="9"/>
      <c r="O49" s="9"/>
      <c r="P49" s="9"/>
      <c r="Q49" s="10"/>
    </row>
    <row r="50" spans="1:17" x14ac:dyDescent="0.3">
      <c r="A50" s="1">
        <f t="shared" si="0"/>
        <v>49</v>
      </c>
      <c r="B50" s="2" t="s">
        <v>71</v>
      </c>
      <c r="C50" s="1" t="s">
        <v>11</v>
      </c>
      <c r="D50" s="2" t="s">
        <v>44</v>
      </c>
      <c r="E50" s="3">
        <v>42132</v>
      </c>
      <c r="F50" s="3">
        <f t="shared" si="1"/>
        <v>45382</v>
      </c>
      <c r="G50" s="4">
        <v>23043</v>
      </c>
      <c r="H50" s="1">
        <f t="shared" ref="H50:H61" si="3">15*12</f>
        <v>180</v>
      </c>
      <c r="I50" s="4">
        <v>11739.751967509694</v>
      </c>
      <c r="L50" s="8"/>
      <c r="M50" s="9"/>
      <c r="N50" s="9"/>
      <c r="O50" s="9"/>
      <c r="P50" s="9"/>
      <c r="Q50" s="10"/>
    </row>
    <row r="51" spans="1:17" x14ac:dyDescent="0.3">
      <c r="A51" s="1">
        <f t="shared" si="0"/>
        <v>50</v>
      </c>
      <c r="B51" s="2" t="s">
        <v>72</v>
      </c>
      <c r="C51" s="1" t="s">
        <v>11</v>
      </c>
      <c r="D51" s="2" t="s">
        <v>73</v>
      </c>
      <c r="E51" s="3">
        <v>42132</v>
      </c>
      <c r="F51" s="3">
        <f t="shared" si="1"/>
        <v>45382</v>
      </c>
      <c r="G51" s="4">
        <v>10058</v>
      </c>
      <c r="H51" s="1">
        <f t="shared" si="3"/>
        <v>180</v>
      </c>
      <c r="I51" s="4">
        <v>5124.2644312464736</v>
      </c>
      <c r="L51" s="8"/>
      <c r="M51" s="9"/>
      <c r="N51" s="9"/>
      <c r="O51" s="9"/>
      <c r="P51" s="9"/>
      <c r="Q51" s="10"/>
    </row>
    <row r="52" spans="1:17" x14ac:dyDescent="0.3">
      <c r="A52" s="1">
        <f t="shared" si="0"/>
        <v>51</v>
      </c>
      <c r="B52" s="2" t="s">
        <v>74</v>
      </c>
      <c r="C52" s="1" t="s">
        <v>11</v>
      </c>
      <c r="D52" s="2" t="s">
        <v>37</v>
      </c>
      <c r="E52" s="3">
        <v>42132</v>
      </c>
      <c r="F52" s="3">
        <f t="shared" si="1"/>
        <v>45382</v>
      </c>
      <c r="G52" s="4">
        <v>18600</v>
      </c>
      <c r="H52" s="1">
        <f t="shared" si="3"/>
        <v>180</v>
      </c>
      <c r="I52" s="4">
        <v>9476.1700557948316</v>
      </c>
      <c r="L52" s="8"/>
      <c r="M52" s="9"/>
      <c r="N52" s="9"/>
      <c r="O52" s="9"/>
      <c r="P52" s="9"/>
      <c r="Q52" s="10"/>
    </row>
    <row r="53" spans="1:17" x14ac:dyDescent="0.3">
      <c r="A53" s="1">
        <f t="shared" si="0"/>
        <v>52</v>
      </c>
      <c r="B53" s="2" t="s">
        <v>75</v>
      </c>
      <c r="C53" s="1" t="s">
        <v>11</v>
      </c>
      <c r="D53" s="2" t="s">
        <v>44</v>
      </c>
      <c r="E53" s="3">
        <v>42136</v>
      </c>
      <c r="F53" s="3">
        <f t="shared" si="1"/>
        <v>45382</v>
      </c>
      <c r="G53" s="4">
        <v>14400</v>
      </c>
      <c r="H53" s="1">
        <f t="shared" si="3"/>
        <v>180</v>
      </c>
      <c r="I53" s="4">
        <v>7336.3897206153533</v>
      </c>
      <c r="L53" s="8"/>
      <c r="M53" s="9"/>
      <c r="N53" s="9"/>
      <c r="O53" s="9"/>
      <c r="P53" s="9"/>
      <c r="Q53" s="10"/>
    </row>
    <row r="54" spans="1:17" x14ac:dyDescent="0.3">
      <c r="A54" s="1">
        <f t="shared" si="0"/>
        <v>53</v>
      </c>
      <c r="B54" s="2" t="s">
        <v>76</v>
      </c>
      <c r="C54" s="1" t="s">
        <v>11</v>
      </c>
      <c r="D54" s="2" t="s">
        <v>44</v>
      </c>
      <c r="E54" s="3">
        <v>42136</v>
      </c>
      <c r="F54" s="3">
        <f t="shared" si="1"/>
        <v>45382</v>
      </c>
      <c r="G54" s="4">
        <v>24083</v>
      </c>
      <c r="H54" s="1">
        <f t="shared" si="3"/>
        <v>180</v>
      </c>
      <c r="I54" s="4">
        <v>12269.602336220802</v>
      </c>
      <c r="L54" s="8"/>
      <c r="M54" s="9"/>
      <c r="N54" s="9"/>
      <c r="O54" s="9"/>
      <c r="P54" s="9"/>
      <c r="Q54" s="10"/>
    </row>
    <row r="55" spans="1:17" x14ac:dyDescent="0.3">
      <c r="A55" s="1">
        <f t="shared" si="0"/>
        <v>54</v>
      </c>
      <c r="B55" s="2" t="s">
        <v>77</v>
      </c>
      <c r="C55" s="1" t="s">
        <v>11</v>
      </c>
      <c r="D55" s="2" t="s">
        <v>17</v>
      </c>
      <c r="E55" s="3">
        <v>42140</v>
      </c>
      <c r="F55" s="3">
        <f t="shared" si="1"/>
        <v>45382</v>
      </c>
      <c r="G55" s="4">
        <v>18000</v>
      </c>
      <c r="H55" s="1">
        <f t="shared" si="3"/>
        <v>180</v>
      </c>
      <c r="I55" s="4">
        <v>9170.4871507691896</v>
      </c>
      <c r="L55" s="8"/>
      <c r="M55" s="9"/>
      <c r="N55" s="9"/>
      <c r="O55" s="9"/>
      <c r="P55" s="9"/>
      <c r="Q55" s="10"/>
    </row>
    <row r="56" spans="1:17" x14ac:dyDescent="0.3">
      <c r="A56" s="1">
        <f t="shared" si="0"/>
        <v>55</v>
      </c>
      <c r="B56" s="2" t="s">
        <v>78</v>
      </c>
      <c r="C56" s="1" t="s">
        <v>11</v>
      </c>
      <c r="D56" s="2" t="s">
        <v>16</v>
      </c>
      <c r="E56" s="3">
        <v>42143</v>
      </c>
      <c r="F56" s="3">
        <f t="shared" si="1"/>
        <v>45382</v>
      </c>
      <c r="G56" s="4">
        <v>1900</v>
      </c>
      <c r="H56" s="1">
        <f t="shared" si="3"/>
        <v>180</v>
      </c>
      <c r="I56" s="4">
        <v>967.99586591452567</v>
      </c>
      <c r="L56" s="8"/>
      <c r="M56" s="9"/>
      <c r="N56" s="9"/>
      <c r="O56" s="9"/>
      <c r="P56" s="9"/>
      <c r="Q56" s="10"/>
    </row>
    <row r="57" spans="1:17" x14ac:dyDescent="0.3">
      <c r="A57" s="1">
        <f t="shared" si="0"/>
        <v>56</v>
      </c>
      <c r="B57" s="2" t="s">
        <v>79</v>
      </c>
      <c r="C57" s="1" t="s">
        <v>11</v>
      </c>
      <c r="D57" s="2" t="s">
        <v>16</v>
      </c>
      <c r="E57" s="3">
        <v>42143</v>
      </c>
      <c r="F57" s="3">
        <f t="shared" si="1"/>
        <v>45382</v>
      </c>
      <c r="G57" s="4">
        <v>1900</v>
      </c>
      <c r="H57" s="1">
        <f t="shared" si="3"/>
        <v>180</v>
      </c>
      <c r="I57" s="4">
        <v>967.99586591452567</v>
      </c>
      <c r="L57" s="8"/>
      <c r="M57" s="9"/>
      <c r="N57" s="9"/>
      <c r="O57" s="9"/>
      <c r="P57" s="9"/>
      <c r="Q57" s="10"/>
    </row>
    <row r="58" spans="1:17" x14ac:dyDescent="0.3">
      <c r="A58" s="1">
        <f t="shared" si="0"/>
        <v>57</v>
      </c>
      <c r="B58" s="2" t="s">
        <v>80</v>
      </c>
      <c r="C58" s="1" t="s">
        <v>11</v>
      </c>
      <c r="D58" s="2" t="s">
        <v>16</v>
      </c>
      <c r="E58" s="3">
        <v>42143</v>
      </c>
      <c r="F58" s="3">
        <f t="shared" si="1"/>
        <v>45382</v>
      </c>
      <c r="G58" s="4">
        <v>1900</v>
      </c>
      <c r="H58" s="1">
        <f t="shared" si="3"/>
        <v>180</v>
      </c>
      <c r="I58" s="4">
        <v>967.99586591452567</v>
      </c>
      <c r="L58" s="8"/>
      <c r="M58" s="9"/>
      <c r="N58" s="9"/>
      <c r="O58" s="9"/>
      <c r="P58" s="9"/>
      <c r="Q58" s="10"/>
    </row>
    <row r="59" spans="1:17" x14ac:dyDescent="0.3">
      <c r="A59" s="1">
        <f t="shared" si="0"/>
        <v>58</v>
      </c>
      <c r="B59" s="2" t="s">
        <v>81</v>
      </c>
      <c r="C59" s="1" t="s">
        <v>11</v>
      </c>
      <c r="D59" s="2" t="s">
        <v>14</v>
      </c>
      <c r="E59" s="3">
        <v>42144</v>
      </c>
      <c r="F59" s="3">
        <f t="shared" si="1"/>
        <v>45382</v>
      </c>
      <c r="G59" s="4">
        <v>28350</v>
      </c>
      <c r="H59" s="1">
        <f t="shared" si="3"/>
        <v>180</v>
      </c>
      <c r="I59" s="4">
        <v>14443.517262461475</v>
      </c>
      <c r="L59" s="8"/>
      <c r="M59" s="9"/>
      <c r="N59" s="9"/>
      <c r="O59" s="9"/>
      <c r="P59" s="9"/>
      <c r="Q59" s="10"/>
    </row>
    <row r="60" spans="1:17" x14ac:dyDescent="0.3">
      <c r="A60" s="1">
        <f t="shared" si="0"/>
        <v>59</v>
      </c>
      <c r="B60" s="2" t="s">
        <v>82</v>
      </c>
      <c r="C60" s="1" t="s">
        <v>11</v>
      </c>
      <c r="D60" s="2" t="s">
        <v>14</v>
      </c>
      <c r="E60" s="3">
        <v>42145</v>
      </c>
      <c r="F60" s="3">
        <f t="shared" si="1"/>
        <v>45382</v>
      </c>
      <c r="G60" s="4">
        <v>2496614</v>
      </c>
      <c r="H60" s="1">
        <f t="shared" si="3"/>
        <v>180</v>
      </c>
      <c r="I60" s="4">
        <v>1271953.7004128043</v>
      </c>
      <c r="L60" s="8"/>
      <c r="M60" s="9"/>
      <c r="N60" s="9"/>
      <c r="O60" s="9"/>
      <c r="P60" s="9"/>
      <c r="Q60" s="10"/>
    </row>
    <row r="61" spans="1:17" x14ac:dyDescent="0.3">
      <c r="A61" s="1">
        <f t="shared" si="0"/>
        <v>60</v>
      </c>
      <c r="B61" s="2" t="s">
        <v>83</v>
      </c>
      <c r="C61" s="1" t="s">
        <v>11</v>
      </c>
      <c r="D61" s="2" t="s">
        <v>14</v>
      </c>
      <c r="E61" s="3">
        <v>42145</v>
      </c>
      <c r="F61" s="3">
        <f t="shared" si="1"/>
        <v>45382</v>
      </c>
      <c r="G61" s="4">
        <v>2496614</v>
      </c>
      <c r="H61" s="1">
        <f t="shared" si="3"/>
        <v>180</v>
      </c>
      <c r="I61" s="4">
        <v>1271953.7004128043</v>
      </c>
      <c r="L61" s="8"/>
      <c r="M61" s="9"/>
      <c r="N61" s="9"/>
      <c r="O61" s="9"/>
      <c r="P61" s="9"/>
      <c r="Q61" s="10"/>
    </row>
    <row r="62" spans="1:17" x14ac:dyDescent="0.3">
      <c r="A62" s="1">
        <f t="shared" si="0"/>
        <v>61</v>
      </c>
      <c r="B62" s="2" t="s">
        <v>84</v>
      </c>
      <c r="C62" s="1" t="s">
        <v>11</v>
      </c>
      <c r="D62" s="2" t="s">
        <v>19</v>
      </c>
      <c r="E62" s="3">
        <v>42147</v>
      </c>
      <c r="F62" s="3">
        <f t="shared" si="1"/>
        <v>45382</v>
      </c>
      <c r="G62" s="4">
        <v>20</v>
      </c>
      <c r="H62" s="1">
        <f>10*12</f>
        <v>120</v>
      </c>
      <c r="I62" s="4">
        <v>10.469221426013515</v>
      </c>
      <c r="L62" s="8"/>
      <c r="M62" s="9"/>
      <c r="N62" s="9"/>
      <c r="O62" s="9"/>
      <c r="P62" s="9"/>
      <c r="Q62" s="10"/>
    </row>
    <row r="63" spans="1:17" x14ac:dyDescent="0.3">
      <c r="A63" s="1">
        <f t="shared" si="0"/>
        <v>62</v>
      </c>
      <c r="B63" s="2" t="s">
        <v>85</v>
      </c>
      <c r="C63" s="1" t="s">
        <v>11</v>
      </c>
      <c r="D63" s="2" t="s">
        <v>14</v>
      </c>
      <c r="E63" s="3">
        <v>42147</v>
      </c>
      <c r="F63" s="3">
        <f t="shared" si="1"/>
        <v>45382</v>
      </c>
      <c r="G63" s="4">
        <v>64125</v>
      </c>
      <c r="H63" s="1">
        <f>15*12</f>
        <v>180</v>
      </c>
      <c r="I63" s="4">
        <v>32669.860474615241</v>
      </c>
      <c r="L63" s="8"/>
      <c r="M63" s="9"/>
      <c r="N63" s="9"/>
      <c r="O63" s="9"/>
      <c r="P63" s="9"/>
      <c r="Q63" s="10"/>
    </row>
    <row r="64" spans="1:17" x14ac:dyDescent="0.3">
      <c r="A64" s="1">
        <f t="shared" si="0"/>
        <v>63</v>
      </c>
      <c r="B64" s="2" t="s">
        <v>86</v>
      </c>
      <c r="C64" s="1" t="s">
        <v>11</v>
      </c>
      <c r="D64" s="2" t="s">
        <v>14</v>
      </c>
      <c r="E64" s="3">
        <v>42147</v>
      </c>
      <c r="F64" s="3">
        <f t="shared" si="1"/>
        <v>45382</v>
      </c>
      <c r="G64" s="4">
        <v>31500</v>
      </c>
      <c r="H64" s="1">
        <f>15*12</f>
        <v>180</v>
      </c>
      <c r="I64" s="4">
        <v>16048.352513846085</v>
      </c>
      <c r="L64" s="8"/>
      <c r="M64" s="9"/>
      <c r="N64" s="9"/>
      <c r="O64" s="9"/>
      <c r="P64" s="9"/>
      <c r="Q64" s="10"/>
    </row>
    <row r="65" spans="1:17" x14ac:dyDescent="0.3">
      <c r="A65" s="1">
        <f t="shared" si="0"/>
        <v>64</v>
      </c>
      <c r="B65" s="2" t="s">
        <v>87</v>
      </c>
      <c r="C65" s="1" t="s">
        <v>11</v>
      </c>
      <c r="D65" s="2" t="s">
        <v>44</v>
      </c>
      <c r="E65" s="3">
        <v>42147</v>
      </c>
      <c r="F65" s="3">
        <f t="shared" si="1"/>
        <v>45382</v>
      </c>
      <c r="G65" s="4">
        <v>5000</v>
      </c>
      <c r="H65" s="1">
        <f>15*12</f>
        <v>180</v>
      </c>
      <c r="I65" s="4">
        <v>2547.3575418803307</v>
      </c>
      <c r="L65" s="8"/>
      <c r="M65" s="9"/>
      <c r="N65" s="9"/>
      <c r="O65" s="9"/>
      <c r="P65" s="9"/>
      <c r="Q65" s="10"/>
    </row>
    <row r="66" spans="1:17" x14ac:dyDescent="0.3">
      <c r="A66" s="1">
        <f t="shared" si="0"/>
        <v>65</v>
      </c>
      <c r="B66" s="2" t="s">
        <v>88</v>
      </c>
      <c r="C66" s="1" t="s">
        <v>11</v>
      </c>
      <c r="D66" s="2" t="s">
        <v>14</v>
      </c>
      <c r="E66" s="3">
        <v>42147</v>
      </c>
      <c r="F66" s="3">
        <f t="shared" si="1"/>
        <v>45382</v>
      </c>
      <c r="G66" s="4">
        <v>166821</v>
      </c>
      <c r="H66" s="1">
        <f>15*12</f>
        <v>180</v>
      </c>
      <c r="I66" s="4">
        <v>84990.546498803727</v>
      </c>
      <c r="L66" s="8"/>
      <c r="M66" s="9"/>
      <c r="N66" s="9"/>
      <c r="O66" s="9"/>
      <c r="P66" s="9"/>
      <c r="Q66" s="10"/>
    </row>
    <row r="67" spans="1:17" x14ac:dyDescent="0.3">
      <c r="A67" s="1">
        <f t="shared" ref="A67:A130" si="4">A66+1</f>
        <v>66</v>
      </c>
      <c r="B67" s="2" t="s">
        <v>89</v>
      </c>
      <c r="C67" s="1" t="s">
        <v>11</v>
      </c>
      <c r="D67" s="2" t="s">
        <v>19</v>
      </c>
      <c r="E67" s="3">
        <v>42147</v>
      </c>
      <c r="F67" s="3">
        <f t="shared" si="1"/>
        <v>45382</v>
      </c>
      <c r="G67" s="4">
        <v>2644</v>
      </c>
      <c r="H67" s="1">
        <f>10*12</f>
        <v>120</v>
      </c>
      <c r="I67" s="4">
        <v>1384.0310725189865</v>
      </c>
      <c r="L67" s="8"/>
      <c r="M67" s="9"/>
      <c r="N67" s="9"/>
      <c r="O67" s="9"/>
      <c r="P67" s="9"/>
      <c r="Q67" s="10"/>
    </row>
    <row r="68" spans="1:17" x14ac:dyDescent="0.3">
      <c r="A68" s="1">
        <f t="shared" si="4"/>
        <v>67</v>
      </c>
      <c r="B68" s="2" t="s">
        <v>90</v>
      </c>
      <c r="C68" s="1" t="s">
        <v>11</v>
      </c>
      <c r="D68" s="2" t="s">
        <v>19</v>
      </c>
      <c r="E68" s="3">
        <v>42147</v>
      </c>
      <c r="F68" s="3">
        <f t="shared" ref="F68:F131" si="5">F67</f>
        <v>45382</v>
      </c>
      <c r="G68" s="4">
        <v>6821</v>
      </c>
      <c r="H68" s="1">
        <f>10*12</f>
        <v>120</v>
      </c>
      <c r="I68" s="4">
        <v>3570.5279673419091</v>
      </c>
      <c r="L68" s="8"/>
      <c r="M68" s="9"/>
      <c r="N68" s="9"/>
      <c r="O68" s="9"/>
      <c r="P68" s="9"/>
      <c r="Q68" s="10"/>
    </row>
    <row r="69" spans="1:17" x14ac:dyDescent="0.3">
      <c r="A69" s="1">
        <f t="shared" si="4"/>
        <v>68</v>
      </c>
      <c r="B69" s="2" t="s">
        <v>91</v>
      </c>
      <c r="C69" s="1" t="s">
        <v>11</v>
      </c>
      <c r="D69" s="2" t="s">
        <v>44</v>
      </c>
      <c r="E69" s="3">
        <v>42147</v>
      </c>
      <c r="F69" s="3">
        <f t="shared" si="5"/>
        <v>45382</v>
      </c>
      <c r="G69" s="4">
        <v>63000</v>
      </c>
      <c r="H69" s="1">
        <f>15*12</f>
        <v>180</v>
      </c>
      <c r="I69" s="4">
        <v>32096.705027692169</v>
      </c>
      <c r="L69" s="8"/>
      <c r="M69" s="9"/>
      <c r="N69" s="9"/>
      <c r="O69" s="9"/>
      <c r="P69" s="9"/>
      <c r="Q69" s="10"/>
    </row>
    <row r="70" spans="1:17" x14ac:dyDescent="0.3">
      <c r="A70" s="1">
        <f t="shared" si="4"/>
        <v>69</v>
      </c>
      <c r="B70" s="2" t="s">
        <v>92</v>
      </c>
      <c r="C70" s="1" t="s">
        <v>11</v>
      </c>
      <c r="D70" s="2" t="s">
        <v>14</v>
      </c>
      <c r="E70" s="3">
        <v>42153</v>
      </c>
      <c r="F70" s="3">
        <f t="shared" si="5"/>
        <v>45382</v>
      </c>
      <c r="G70" s="4">
        <v>1050000</v>
      </c>
      <c r="H70" s="1">
        <f>15*12</f>
        <v>180</v>
      </c>
      <c r="I70" s="4">
        <v>534945.08379486948</v>
      </c>
      <c r="L70" s="8"/>
      <c r="M70" s="9"/>
      <c r="N70" s="9"/>
      <c r="O70" s="9"/>
      <c r="P70" s="9"/>
      <c r="Q70" s="10"/>
    </row>
    <row r="71" spans="1:17" x14ac:dyDescent="0.3">
      <c r="A71" s="1">
        <f t="shared" si="4"/>
        <v>70</v>
      </c>
      <c r="B71" s="2" t="s">
        <v>93</v>
      </c>
      <c r="C71" s="1" t="s">
        <v>11</v>
      </c>
      <c r="D71" s="2" t="s">
        <v>16</v>
      </c>
      <c r="E71" s="3">
        <v>42153</v>
      </c>
      <c r="F71" s="3">
        <f t="shared" si="5"/>
        <v>45382</v>
      </c>
      <c r="G71" s="4">
        <v>1950</v>
      </c>
      <c r="H71" s="1">
        <f>15*12</f>
        <v>180</v>
      </c>
      <c r="I71" s="4">
        <v>993.46944133332909</v>
      </c>
      <c r="L71" s="8"/>
      <c r="M71" s="9"/>
      <c r="N71" s="9"/>
      <c r="O71" s="9"/>
      <c r="P71" s="9"/>
      <c r="Q71" s="10"/>
    </row>
    <row r="72" spans="1:17" x14ac:dyDescent="0.3">
      <c r="A72" s="1">
        <f t="shared" si="4"/>
        <v>71</v>
      </c>
      <c r="B72" s="2" t="s">
        <v>94</v>
      </c>
      <c r="C72" s="1" t="s">
        <v>11</v>
      </c>
      <c r="D72" s="2" t="s">
        <v>16</v>
      </c>
      <c r="E72" s="3">
        <v>42153</v>
      </c>
      <c r="F72" s="3">
        <f t="shared" si="5"/>
        <v>45382</v>
      </c>
      <c r="G72" s="4">
        <v>1208</v>
      </c>
      <c r="H72" s="1">
        <f>15*12</f>
        <v>180</v>
      </c>
      <c r="I72" s="4">
        <v>615.4415821182879</v>
      </c>
      <c r="L72" s="8"/>
      <c r="M72" s="9"/>
      <c r="N72" s="9"/>
      <c r="O72" s="9"/>
      <c r="P72" s="9"/>
      <c r="Q72" s="10"/>
    </row>
    <row r="73" spans="1:17" x14ac:dyDescent="0.3">
      <c r="A73" s="1">
        <f t="shared" si="4"/>
        <v>72</v>
      </c>
      <c r="B73" s="2" t="s">
        <v>95</v>
      </c>
      <c r="C73" s="1" t="s">
        <v>11</v>
      </c>
      <c r="D73" s="2" t="s">
        <v>19</v>
      </c>
      <c r="E73" s="3">
        <v>42153</v>
      </c>
      <c r="F73" s="3">
        <f t="shared" si="5"/>
        <v>45382</v>
      </c>
      <c r="G73" s="4">
        <v>423</v>
      </c>
      <c r="H73" s="1">
        <f>10*12</f>
        <v>120</v>
      </c>
      <c r="I73" s="4">
        <v>221.42403316018581</v>
      </c>
      <c r="L73" s="8"/>
      <c r="M73" s="9"/>
      <c r="N73" s="9"/>
      <c r="O73" s="9"/>
      <c r="P73" s="9"/>
      <c r="Q73" s="10"/>
    </row>
    <row r="74" spans="1:17" x14ac:dyDescent="0.3">
      <c r="A74" s="1">
        <f t="shared" si="4"/>
        <v>73</v>
      </c>
      <c r="B74" s="2" t="s">
        <v>96</v>
      </c>
      <c r="C74" s="1" t="s">
        <v>11</v>
      </c>
      <c r="D74" s="2" t="s">
        <v>21</v>
      </c>
      <c r="E74" s="3">
        <v>42153</v>
      </c>
      <c r="F74" s="3">
        <f t="shared" si="5"/>
        <v>45382</v>
      </c>
      <c r="G74" s="4">
        <v>13680</v>
      </c>
      <c r="H74" s="1">
        <f>15*12</f>
        <v>180</v>
      </c>
      <c r="I74" s="4">
        <v>6969.5702345845857</v>
      </c>
      <c r="L74" s="8"/>
      <c r="M74" s="9"/>
      <c r="N74" s="9"/>
      <c r="O74" s="9"/>
      <c r="P74" s="9"/>
      <c r="Q74" s="10"/>
    </row>
    <row r="75" spans="1:17" x14ac:dyDescent="0.3">
      <c r="A75" s="1">
        <f t="shared" si="4"/>
        <v>74</v>
      </c>
      <c r="B75" s="2" t="s">
        <v>97</v>
      </c>
      <c r="C75" s="1" t="s">
        <v>11</v>
      </c>
      <c r="D75" s="2" t="s">
        <v>16</v>
      </c>
      <c r="E75" s="3">
        <v>42153</v>
      </c>
      <c r="F75" s="3">
        <f t="shared" si="5"/>
        <v>45382</v>
      </c>
      <c r="G75" s="4">
        <v>735000</v>
      </c>
      <c r="H75" s="1">
        <f>15*12</f>
        <v>180</v>
      </c>
      <c r="I75" s="4">
        <v>374461.55865640868</v>
      </c>
      <c r="L75" s="8"/>
      <c r="M75" s="9"/>
      <c r="N75" s="9"/>
      <c r="O75" s="9"/>
      <c r="P75" s="9"/>
      <c r="Q75" s="10"/>
    </row>
    <row r="76" spans="1:17" x14ac:dyDescent="0.3">
      <c r="A76" s="1">
        <f t="shared" si="4"/>
        <v>75</v>
      </c>
      <c r="B76" s="2" t="s">
        <v>98</v>
      </c>
      <c r="C76" s="1" t="s">
        <v>11</v>
      </c>
      <c r="D76" s="2" t="s">
        <v>99</v>
      </c>
      <c r="E76" s="3">
        <v>42155</v>
      </c>
      <c r="F76" s="3">
        <f t="shared" si="5"/>
        <v>45382</v>
      </c>
      <c r="G76" s="4">
        <v>32000</v>
      </c>
      <c r="H76" s="1">
        <f>15*12</f>
        <v>180</v>
      </c>
      <c r="I76" s="4">
        <v>16303.088268034118</v>
      </c>
      <c r="L76" s="8"/>
      <c r="M76" s="9"/>
      <c r="N76" s="9"/>
      <c r="O76" s="9"/>
      <c r="P76" s="9"/>
      <c r="Q76" s="10"/>
    </row>
    <row r="77" spans="1:17" x14ac:dyDescent="0.3">
      <c r="A77" s="1">
        <f t="shared" si="4"/>
        <v>76</v>
      </c>
      <c r="B77" s="2" t="s">
        <v>100</v>
      </c>
      <c r="C77" s="1" t="s">
        <v>11</v>
      </c>
      <c r="D77" s="2" t="s">
        <v>14</v>
      </c>
      <c r="E77" s="3">
        <v>42156</v>
      </c>
      <c r="F77" s="3">
        <f t="shared" si="5"/>
        <v>45382</v>
      </c>
      <c r="G77" s="4">
        <v>2500000</v>
      </c>
      <c r="H77" s="1">
        <f>15*12</f>
        <v>180</v>
      </c>
      <c r="I77" s="4">
        <v>1260054.8211514635</v>
      </c>
      <c r="L77" s="8"/>
      <c r="M77" s="9"/>
      <c r="N77" s="9"/>
      <c r="O77" s="9"/>
      <c r="P77" s="9"/>
      <c r="Q77" s="10"/>
    </row>
    <row r="78" spans="1:17" x14ac:dyDescent="0.3">
      <c r="A78" s="1">
        <f t="shared" si="4"/>
        <v>77</v>
      </c>
      <c r="B78" s="2" t="s">
        <v>101</v>
      </c>
      <c r="C78" s="1" t="s">
        <v>11</v>
      </c>
      <c r="D78" s="2" t="s">
        <v>14</v>
      </c>
      <c r="E78" s="3">
        <v>42156</v>
      </c>
      <c r="F78" s="3">
        <f t="shared" si="5"/>
        <v>45382</v>
      </c>
      <c r="G78" s="4">
        <v>2500000</v>
      </c>
      <c r="H78" s="1">
        <f>15*12</f>
        <v>180</v>
      </c>
      <c r="I78" s="4">
        <v>1260054.8211514635</v>
      </c>
      <c r="L78" s="8"/>
      <c r="M78" s="9"/>
      <c r="N78" s="9"/>
      <c r="O78" s="9"/>
      <c r="P78" s="9"/>
      <c r="Q78" s="10"/>
    </row>
    <row r="79" spans="1:17" x14ac:dyDescent="0.3">
      <c r="A79" s="1">
        <f t="shared" si="4"/>
        <v>78</v>
      </c>
      <c r="B79" s="2" t="s">
        <v>102</v>
      </c>
      <c r="C79" s="1" t="s">
        <v>11</v>
      </c>
      <c r="D79" s="2" t="s">
        <v>19</v>
      </c>
      <c r="E79" s="3">
        <v>42157</v>
      </c>
      <c r="F79" s="3">
        <f t="shared" si="5"/>
        <v>45382</v>
      </c>
      <c r="G79" s="4">
        <v>17220</v>
      </c>
      <c r="H79" s="1">
        <f>10*12</f>
        <v>120</v>
      </c>
      <c r="I79" s="4">
        <v>8897.3248020199462</v>
      </c>
      <c r="L79" s="8"/>
      <c r="M79" s="9"/>
      <c r="N79" s="9"/>
      <c r="O79" s="9"/>
      <c r="P79" s="9"/>
      <c r="Q79" s="10"/>
    </row>
    <row r="80" spans="1:17" x14ac:dyDescent="0.3">
      <c r="A80" s="1">
        <f t="shared" si="4"/>
        <v>79</v>
      </c>
      <c r="B80" s="2" t="s">
        <v>103</v>
      </c>
      <c r="C80" s="1" t="s">
        <v>11</v>
      </c>
      <c r="D80" s="2" t="s">
        <v>19</v>
      </c>
      <c r="E80" s="3">
        <v>42166</v>
      </c>
      <c r="F80" s="3">
        <f t="shared" si="5"/>
        <v>45382</v>
      </c>
      <c r="G80" s="4">
        <v>1676</v>
      </c>
      <c r="H80" s="1">
        <f>10*12</f>
        <v>120</v>
      </c>
      <c r="I80" s="4">
        <v>865.96494588765552</v>
      </c>
      <c r="L80" s="8"/>
      <c r="M80" s="9"/>
      <c r="N80" s="9"/>
      <c r="O80" s="9"/>
      <c r="P80" s="9"/>
      <c r="Q80" s="10"/>
    </row>
    <row r="81" spans="1:17" x14ac:dyDescent="0.3">
      <c r="A81" s="1">
        <f t="shared" si="4"/>
        <v>80</v>
      </c>
      <c r="B81" s="2" t="s">
        <v>104</v>
      </c>
      <c r="C81" s="1" t="s">
        <v>11</v>
      </c>
      <c r="D81" s="2" t="s">
        <v>19</v>
      </c>
      <c r="E81" s="3">
        <v>42166</v>
      </c>
      <c r="F81" s="3">
        <f t="shared" si="5"/>
        <v>45382</v>
      </c>
      <c r="G81" s="4">
        <v>905</v>
      </c>
      <c r="H81" s="1">
        <f>10*12</f>
        <v>120</v>
      </c>
      <c r="I81" s="4">
        <v>467.6004033581911</v>
      </c>
      <c r="L81" s="8"/>
      <c r="M81" s="9"/>
      <c r="N81" s="9"/>
      <c r="O81" s="9"/>
      <c r="P81" s="9"/>
      <c r="Q81" s="10"/>
    </row>
    <row r="82" spans="1:17" x14ac:dyDescent="0.3">
      <c r="A82" s="1">
        <f t="shared" si="4"/>
        <v>81</v>
      </c>
      <c r="B82" s="2" t="s">
        <v>105</v>
      </c>
      <c r="C82" s="1" t="s">
        <v>11</v>
      </c>
      <c r="D82" s="2" t="s">
        <v>17</v>
      </c>
      <c r="E82" s="3">
        <v>42167</v>
      </c>
      <c r="F82" s="3">
        <f t="shared" si="5"/>
        <v>45382</v>
      </c>
      <c r="G82" s="4">
        <v>108372</v>
      </c>
      <c r="H82" s="1">
        <f>15*12</f>
        <v>180</v>
      </c>
      <c r="I82" s="4">
        <v>54621.864431130569</v>
      </c>
      <c r="L82" s="8"/>
      <c r="M82" s="9"/>
      <c r="N82" s="9"/>
      <c r="O82" s="9"/>
      <c r="P82" s="9"/>
      <c r="Q82" s="10"/>
    </row>
    <row r="83" spans="1:17" x14ac:dyDescent="0.3">
      <c r="A83" s="1">
        <f t="shared" si="4"/>
        <v>82</v>
      </c>
      <c r="B83" s="2" t="s">
        <v>106</v>
      </c>
      <c r="C83" s="1" t="s">
        <v>11</v>
      </c>
      <c r="D83" s="2" t="s">
        <v>44</v>
      </c>
      <c r="E83" s="3">
        <v>42167</v>
      </c>
      <c r="F83" s="3">
        <f t="shared" si="5"/>
        <v>45382</v>
      </c>
      <c r="G83" s="4">
        <v>4580</v>
      </c>
      <c r="H83" s="1">
        <f>15*12</f>
        <v>180</v>
      </c>
      <c r="I83" s="4">
        <v>2308.4204323494814</v>
      </c>
      <c r="L83" s="8"/>
      <c r="M83" s="9"/>
      <c r="N83" s="9"/>
      <c r="O83" s="9"/>
      <c r="P83" s="9"/>
      <c r="Q83" s="10"/>
    </row>
    <row r="84" spans="1:17" x14ac:dyDescent="0.3">
      <c r="A84" s="1">
        <f t="shared" si="4"/>
        <v>83</v>
      </c>
      <c r="B84" s="2" t="s">
        <v>107</v>
      </c>
      <c r="C84" s="1" t="s">
        <v>11</v>
      </c>
      <c r="D84" s="2" t="s">
        <v>19</v>
      </c>
      <c r="E84" s="3">
        <v>42167</v>
      </c>
      <c r="F84" s="3">
        <f t="shared" si="5"/>
        <v>45382</v>
      </c>
      <c r="G84" s="4">
        <v>12287</v>
      </c>
      <c r="H84" s="1">
        <f>10*12</f>
        <v>120</v>
      </c>
      <c r="I84" s="4">
        <v>6348.5150895713741</v>
      </c>
      <c r="L84" s="8"/>
      <c r="M84" s="9"/>
      <c r="N84" s="9"/>
      <c r="O84" s="9"/>
      <c r="P84" s="9"/>
      <c r="Q84" s="10"/>
    </row>
    <row r="85" spans="1:17" x14ac:dyDescent="0.3">
      <c r="A85" s="1">
        <f t="shared" si="4"/>
        <v>84</v>
      </c>
      <c r="B85" s="2" t="s">
        <v>108</v>
      </c>
      <c r="C85" s="1" t="s">
        <v>11</v>
      </c>
      <c r="D85" s="2" t="s">
        <v>19</v>
      </c>
      <c r="E85" s="3">
        <v>42167</v>
      </c>
      <c r="F85" s="3">
        <f t="shared" si="5"/>
        <v>45382</v>
      </c>
      <c r="G85" s="4">
        <v>19252</v>
      </c>
      <c r="H85" s="1">
        <f>10*12</f>
        <v>120</v>
      </c>
      <c r="I85" s="4">
        <v>9947.2297960794422</v>
      </c>
      <c r="L85" s="8"/>
      <c r="M85" s="9"/>
      <c r="N85" s="9"/>
      <c r="O85" s="9"/>
      <c r="P85" s="9"/>
      <c r="Q85" s="10"/>
    </row>
    <row r="86" spans="1:17" x14ac:dyDescent="0.3">
      <c r="A86" s="1">
        <f t="shared" si="4"/>
        <v>85</v>
      </c>
      <c r="B86" s="2" t="s">
        <v>109</v>
      </c>
      <c r="C86" s="1" t="s">
        <v>11</v>
      </c>
      <c r="D86" s="2" t="s">
        <v>21</v>
      </c>
      <c r="E86" s="3">
        <v>42167</v>
      </c>
      <c r="F86" s="3">
        <f t="shared" si="5"/>
        <v>45382</v>
      </c>
      <c r="G86" s="4">
        <v>27360</v>
      </c>
      <c r="H86" s="1">
        <f>15*12</f>
        <v>180</v>
      </c>
      <c r="I86" s="4">
        <v>13790.03996268162</v>
      </c>
      <c r="L86" s="8"/>
      <c r="M86" s="9"/>
      <c r="N86" s="9"/>
      <c r="O86" s="9"/>
      <c r="P86" s="9"/>
      <c r="Q86" s="10"/>
    </row>
    <row r="87" spans="1:17" x14ac:dyDescent="0.3">
      <c r="A87" s="1">
        <f t="shared" si="4"/>
        <v>86</v>
      </c>
      <c r="B87" s="2" t="s">
        <v>110</v>
      </c>
      <c r="C87" s="1" t="s">
        <v>11</v>
      </c>
      <c r="D87" s="2" t="s">
        <v>19</v>
      </c>
      <c r="E87" s="3">
        <v>42167</v>
      </c>
      <c r="F87" s="3">
        <f t="shared" si="5"/>
        <v>45382</v>
      </c>
      <c r="G87" s="4">
        <v>1977</v>
      </c>
      <c r="H87" s="1">
        <f>10*12</f>
        <v>120</v>
      </c>
      <c r="I87" s="4">
        <v>1021.4872899880042</v>
      </c>
      <c r="L87" s="8"/>
      <c r="M87" s="9"/>
      <c r="N87" s="9"/>
      <c r="O87" s="9"/>
      <c r="P87" s="9"/>
      <c r="Q87" s="10"/>
    </row>
    <row r="88" spans="1:17" x14ac:dyDescent="0.3">
      <c r="A88" s="1">
        <f t="shared" si="4"/>
        <v>87</v>
      </c>
      <c r="B88" s="2" t="s">
        <v>111</v>
      </c>
      <c r="C88" s="1" t="s">
        <v>11</v>
      </c>
      <c r="D88" s="2" t="s">
        <v>44</v>
      </c>
      <c r="E88" s="3">
        <v>42170</v>
      </c>
      <c r="F88" s="3">
        <f t="shared" si="5"/>
        <v>45382</v>
      </c>
      <c r="G88" s="4">
        <v>25700</v>
      </c>
      <c r="H88" s="1">
        <f>15*12</f>
        <v>180</v>
      </c>
      <c r="I88" s="4">
        <v>12953.363561437047</v>
      </c>
      <c r="L88" s="8"/>
      <c r="M88" s="9"/>
      <c r="N88" s="9"/>
      <c r="O88" s="9"/>
      <c r="P88" s="9"/>
      <c r="Q88" s="10"/>
    </row>
    <row r="89" spans="1:17" x14ac:dyDescent="0.3">
      <c r="A89" s="1">
        <f t="shared" si="4"/>
        <v>88</v>
      </c>
      <c r="B89" s="2" t="s">
        <v>112</v>
      </c>
      <c r="C89" s="1" t="s">
        <v>11</v>
      </c>
      <c r="D89" s="2" t="s">
        <v>99</v>
      </c>
      <c r="E89" s="3">
        <v>42170</v>
      </c>
      <c r="F89" s="3">
        <f t="shared" si="5"/>
        <v>45382</v>
      </c>
      <c r="G89" s="4">
        <v>127001</v>
      </c>
      <c r="H89" s="1">
        <f>15*12</f>
        <v>180</v>
      </c>
      <c r="I89" s="4">
        <v>64011.28893642281</v>
      </c>
      <c r="L89" s="8"/>
      <c r="M89" s="9"/>
      <c r="N89" s="9"/>
      <c r="O89" s="9"/>
      <c r="P89" s="9"/>
      <c r="Q89" s="10"/>
    </row>
    <row r="90" spans="1:17" x14ac:dyDescent="0.3">
      <c r="A90" s="1">
        <f t="shared" si="4"/>
        <v>89</v>
      </c>
      <c r="B90" s="2" t="s">
        <v>113</v>
      </c>
      <c r="C90" s="1" t="s">
        <v>11</v>
      </c>
      <c r="D90" s="2" t="s">
        <v>114</v>
      </c>
      <c r="E90" s="3">
        <v>42171</v>
      </c>
      <c r="F90" s="3">
        <f t="shared" si="5"/>
        <v>45382</v>
      </c>
      <c r="G90" s="4">
        <v>8250</v>
      </c>
      <c r="H90" s="1">
        <f>15*12</f>
        <v>180</v>
      </c>
      <c r="I90" s="4">
        <v>4158.1809097998303</v>
      </c>
      <c r="L90" s="8"/>
      <c r="M90" s="9"/>
      <c r="N90" s="9"/>
      <c r="O90" s="9"/>
      <c r="P90" s="9"/>
      <c r="Q90" s="10"/>
    </row>
    <row r="91" spans="1:17" x14ac:dyDescent="0.3">
      <c r="A91" s="1">
        <f t="shared" si="4"/>
        <v>90</v>
      </c>
      <c r="B91" s="2" t="s">
        <v>115</v>
      </c>
      <c r="C91" s="1" t="s">
        <v>11</v>
      </c>
      <c r="D91" s="2" t="s">
        <v>19</v>
      </c>
      <c r="E91" s="3">
        <v>42171</v>
      </c>
      <c r="F91" s="3">
        <f t="shared" si="5"/>
        <v>45382</v>
      </c>
      <c r="G91" s="4">
        <v>5601</v>
      </c>
      <c r="H91" s="1">
        <f>10*12</f>
        <v>120</v>
      </c>
      <c r="I91" s="4">
        <v>2893.9556455350589</v>
      </c>
      <c r="L91" s="8"/>
      <c r="M91" s="9"/>
      <c r="N91" s="9"/>
      <c r="O91" s="9"/>
      <c r="P91" s="9"/>
      <c r="Q91" s="10"/>
    </row>
    <row r="92" spans="1:17" x14ac:dyDescent="0.3">
      <c r="A92" s="1">
        <f t="shared" si="4"/>
        <v>91</v>
      </c>
      <c r="B92" s="2" t="s">
        <v>116</v>
      </c>
      <c r="C92" s="1" t="s">
        <v>11</v>
      </c>
      <c r="D92" s="2" t="s">
        <v>12</v>
      </c>
      <c r="E92" s="3">
        <v>42171</v>
      </c>
      <c r="F92" s="3">
        <f t="shared" si="5"/>
        <v>45382</v>
      </c>
      <c r="G92" s="4">
        <v>3850</v>
      </c>
      <c r="H92" s="1">
        <f>15*12</f>
        <v>180</v>
      </c>
      <c r="I92" s="4">
        <v>1940.4844245732538</v>
      </c>
      <c r="L92" s="8"/>
      <c r="M92" s="9"/>
      <c r="N92" s="9"/>
      <c r="O92" s="9"/>
      <c r="P92" s="9"/>
      <c r="Q92" s="10"/>
    </row>
    <row r="93" spans="1:17" x14ac:dyDescent="0.3">
      <c r="A93" s="1">
        <f t="shared" si="4"/>
        <v>92</v>
      </c>
      <c r="B93" s="2" t="s">
        <v>117</v>
      </c>
      <c r="C93" s="1" t="s">
        <v>11</v>
      </c>
      <c r="D93" s="2" t="s">
        <v>19</v>
      </c>
      <c r="E93" s="3">
        <v>42171</v>
      </c>
      <c r="F93" s="3">
        <f t="shared" si="5"/>
        <v>45382</v>
      </c>
      <c r="G93" s="4">
        <v>59310</v>
      </c>
      <c r="H93" s="1">
        <f>10*12</f>
        <v>120</v>
      </c>
      <c r="I93" s="4">
        <v>30644.618699640127</v>
      </c>
      <c r="L93" s="8"/>
      <c r="M93" s="9"/>
      <c r="N93" s="9"/>
      <c r="O93" s="9"/>
      <c r="P93" s="9"/>
      <c r="Q93" s="10"/>
    </row>
    <row r="94" spans="1:17" x14ac:dyDescent="0.3">
      <c r="A94" s="1">
        <f t="shared" si="4"/>
        <v>93</v>
      </c>
      <c r="B94" s="2" t="s">
        <v>118</v>
      </c>
      <c r="C94" s="1" t="s">
        <v>11</v>
      </c>
      <c r="D94" s="2" t="s">
        <v>16</v>
      </c>
      <c r="E94" s="3">
        <v>42173</v>
      </c>
      <c r="F94" s="3">
        <f t="shared" si="5"/>
        <v>45382</v>
      </c>
      <c r="G94" s="4">
        <v>1900</v>
      </c>
      <c r="H94" s="1">
        <f>15*12</f>
        <v>180</v>
      </c>
      <c r="I94" s="4">
        <v>957.64166407511232</v>
      </c>
      <c r="L94" s="8"/>
      <c r="M94" s="9"/>
      <c r="N94" s="9"/>
      <c r="O94" s="9"/>
      <c r="P94" s="9"/>
      <c r="Q94" s="10"/>
    </row>
    <row r="95" spans="1:17" x14ac:dyDescent="0.3">
      <c r="A95" s="1">
        <f t="shared" si="4"/>
        <v>94</v>
      </c>
      <c r="B95" s="2" t="s">
        <v>119</v>
      </c>
      <c r="C95" s="1" t="s">
        <v>11</v>
      </c>
      <c r="D95" s="2" t="s">
        <v>16</v>
      </c>
      <c r="E95" s="3">
        <v>42174</v>
      </c>
      <c r="F95" s="3">
        <f t="shared" si="5"/>
        <v>45382</v>
      </c>
      <c r="G95" s="4">
        <v>1900</v>
      </c>
      <c r="H95" s="1">
        <f>15*12</f>
        <v>180</v>
      </c>
      <c r="I95" s="4">
        <v>957.64166407511232</v>
      </c>
      <c r="L95" s="8"/>
      <c r="M95" s="9"/>
      <c r="N95" s="9"/>
      <c r="O95" s="9"/>
      <c r="P95" s="9"/>
      <c r="Q95" s="10"/>
    </row>
    <row r="96" spans="1:17" x14ac:dyDescent="0.3">
      <c r="A96" s="1">
        <f t="shared" si="4"/>
        <v>95</v>
      </c>
      <c r="B96" s="2" t="s">
        <v>120</v>
      </c>
      <c r="C96" s="1" t="s">
        <v>11</v>
      </c>
      <c r="D96" s="2" t="s">
        <v>19</v>
      </c>
      <c r="E96" s="3">
        <v>42174</v>
      </c>
      <c r="F96" s="3">
        <f t="shared" si="5"/>
        <v>45382</v>
      </c>
      <c r="G96" s="4">
        <v>3225</v>
      </c>
      <c r="H96" s="1">
        <f>10*12</f>
        <v>120</v>
      </c>
      <c r="I96" s="4">
        <v>1666.3108296465925</v>
      </c>
      <c r="L96" s="8"/>
      <c r="M96" s="9"/>
      <c r="N96" s="9"/>
      <c r="O96" s="9"/>
      <c r="P96" s="9"/>
      <c r="Q96" s="10"/>
    </row>
    <row r="97" spans="1:17" x14ac:dyDescent="0.3">
      <c r="A97" s="1">
        <f t="shared" si="4"/>
        <v>96</v>
      </c>
      <c r="B97" s="2" t="s">
        <v>121</v>
      </c>
      <c r="C97" s="1" t="s">
        <v>11</v>
      </c>
      <c r="D97" s="2" t="s">
        <v>17</v>
      </c>
      <c r="E97" s="3">
        <v>42174</v>
      </c>
      <c r="F97" s="3">
        <f t="shared" si="5"/>
        <v>45382</v>
      </c>
      <c r="G97" s="4">
        <v>1750</v>
      </c>
      <c r="H97" s="1">
        <f>15*12</f>
        <v>180</v>
      </c>
      <c r="I97" s="4">
        <v>882.03837480602454</v>
      </c>
      <c r="L97" s="8"/>
      <c r="M97" s="9"/>
      <c r="N97" s="9"/>
      <c r="O97" s="9"/>
      <c r="P97" s="9"/>
      <c r="Q97" s="10"/>
    </row>
    <row r="98" spans="1:17" x14ac:dyDescent="0.3">
      <c r="A98" s="1">
        <f t="shared" si="4"/>
        <v>97</v>
      </c>
      <c r="B98" s="2" t="s">
        <v>122</v>
      </c>
      <c r="C98" s="1" t="s">
        <v>11</v>
      </c>
      <c r="D98" s="2" t="s">
        <v>19</v>
      </c>
      <c r="E98" s="3">
        <v>42180</v>
      </c>
      <c r="F98" s="3">
        <f t="shared" si="5"/>
        <v>45382</v>
      </c>
      <c r="G98" s="4">
        <v>720</v>
      </c>
      <c r="H98" s="1">
        <f>10*12</f>
        <v>120</v>
      </c>
      <c r="I98" s="4">
        <v>372.01358057226253</v>
      </c>
      <c r="L98" s="8"/>
      <c r="M98" s="9"/>
      <c r="N98" s="9"/>
      <c r="O98" s="9"/>
      <c r="P98" s="9"/>
      <c r="Q98" s="10"/>
    </row>
    <row r="99" spans="1:17" x14ac:dyDescent="0.3">
      <c r="A99" s="1">
        <f t="shared" si="4"/>
        <v>98</v>
      </c>
      <c r="B99" s="2" t="s">
        <v>123</v>
      </c>
      <c r="C99" s="1" t="s">
        <v>11</v>
      </c>
      <c r="D99" s="2" t="s">
        <v>19</v>
      </c>
      <c r="E99" s="3">
        <v>42180</v>
      </c>
      <c r="F99" s="3">
        <f t="shared" si="5"/>
        <v>45382</v>
      </c>
      <c r="G99" s="4">
        <v>300</v>
      </c>
      <c r="H99" s="1">
        <f>10*12</f>
        <v>120</v>
      </c>
      <c r="I99" s="4">
        <v>155.00565857177605</v>
      </c>
      <c r="L99" s="8"/>
      <c r="M99" s="9"/>
      <c r="N99" s="9"/>
      <c r="O99" s="9"/>
      <c r="P99" s="9"/>
      <c r="Q99" s="10"/>
    </row>
    <row r="100" spans="1:17" x14ac:dyDescent="0.3">
      <c r="A100" s="1">
        <f t="shared" si="4"/>
        <v>99</v>
      </c>
      <c r="B100" s="2" t="s">
        <v>124</v>
      </c>
      <c r="C100" s="1" t="s">
        <v>11</v>
      </c>
      <c r="D100" s="2" t="s">
        <v>19</v>
      </c>
      <c r="E100" s="3">
        <v>42180</v>
      </c>
      <c r="F100" s="3">
        <f t="shared" si="5"/>
        <v>45382</v>
      </c>
      <c r="G100" s="4">
        <v>1189</v>
      </c>
      <c r="H100" s="1">
        <f>10*12</f>
        <v>120</v>
      </c>
      <c r="I100" s="4">
        <v>614.33909347280576</v>
      </c>
      <c r="L100" s="8"/>
      <c r="M100" s="9"/>
      <c r="N100" s="9"/>
      <c r="O100" s="9"/>
      <c r="P100" s="9"/>
      <c r="Q100" s="10"/>
    </row>
    <row r="101" spans="1:17" x14ac:dyDescent="0.3">
      <c r="A101" s="1">
        <f t="shared" si="4"/>
        <v>100</v>
      </c>
      <c r="B101" s="2" t="s">
        <v>125</v>
      </c>
      <c r="C101" s="1" t="s">
        <v>11</v>
      </c>
      <c r="D101" s="2" t="s">
        <v>19</v>
      </c>
      <c r="E101" s="3">
        <v>42180</v>
      </c>
      <c r="F101" s="3">
        <f t="shared" si="5"/>
        <v>45382</v>
      </c>
      <c r="G101" s="4">
        <v>300</v>
      </c>
      <c r="H101" s="1">
        <f>10*12</f>
        <v>120</v>
      </c>
      <c r="I101" s="4">
        <v>155.00565857177605</v>
      </c>
      <c r="L101" s="8"/>
      <c r="M101" s="9"/>
      <c r="N101" s="9"/>
      <c r="O101" s="9"/>
      <c r="P101" s="9"/>
      <c r="Q101" s="10"/>
    </row>
    <row r="102" spans="1:17" x14ac:dyDescent="0.3">
      <c r="A102" s="1">
        <f t="shared" si="4"/>
        <v>101</v>
      </c>
      <c r="B102" s="2" t="s">
        <v>126</v>
      </c>
      <c r="C102" s="1" t="s">
        <v>11</v>
      </c>
      <c r="D102" s="2" t="s">
        <v>17</v>
      </c>
      <c r="E102" s="3">
        <v>42182</v>
      </c>
      <c r="F102" s="3">
        <f t="shared" si="5"/>
        <v>45382</v>
      </c>
      <c r="G102" s="4">
        <v>4974</v>
      </c>
      <c r="H102" s="1">
        <f>15*12</f>
        <v>180</v>
      </c>
      <c r="I102" s="4">
        <v>2507.0050721629523</v>
      </c>
      <c r="L102" s="8"/>
      <c r="M102" s="9"/>
      <c r="N102" s="9"/>
      <c r="O102" s="9"/>
      <c r="P102" s="9"/>
      <c r="Q102" s="10"/>
    </row>
    <row r="103" spans="1:17" x14ac:dyDescent="0.3">
      <c r="A103" s="1">
        <f t="shared" si="4"/>
        <v>102</v>
      </c>
      <c r="B103" s="2" t="s">
        <v>127</v>
      </c>
      <c r="C103" s="1" t="s">
        <v>11</v>
      </c>
      <c r="D103" s="2" t="s">
        <v>44</v>
      </c>
      <c r="E103" s="3">
        <v>42182</v>
      </c>
      <c r="F103" s="3">
        <f t="shared" si="5"/>
        <v>45382</v>
      </c>
      <c r="G103" s="4">
        <v>284000</v>
      </c>
      <c r="H103" s="1">
        <f>15*12</f>
        <v>180</v>
      </c>
      <c r="I103" s="4">
        <v>143142.22768280626</v>
      </c>
      <c r="L103" s="8"/>
      <c r="M103" s="9"/>
      <c r="N103" s="9"/>
      <c r="O103" s="9"/>
      <c r="P103" s="9"/>
      <c r="Q103" s="10"/>
    </row>
    <row r="104" spans="1:17" x14ac:dyDescent="0.3">
      <c r="A104" s="1">
        <f t="shared" si="4"/>
        <v>103</v>
      </c>
      <c r="B104" s="2" t="s">
        <v>128</v>
      </c>
      <c r="C104" s="1" t="s">
        <v>11</v>
      </c>
      <c r="D104" s="2" t="s">
        <v>19</v>
      </c>
      <c r="E104" s="3">
        <v>42182</v>
      </c>
      <c r="F104" s="3">
        <f t="shared" si="5"/>
        <v>45382</v>
      </c>
      <c r="G104" s="4">
        <v>6962</v>
      </c>
      <c r="H104" s="1">
        <f>10*12</f>
        <v>120</v>
      </c>
      <c r="I104" s="4">
        <v>3597.1646499223493</v>
      </c>
      <c r="L104" s="8"/>
      <c r="M104" s="9"/>
      <c r="N104" s="9"/>
      <c r="O104" s="9"/>
      <c r="P104" s="9"/>
      <c r="Q104" s="10"/>
    </row>
    <row r="105" spans="1:17" x14ac:dyDescent="0.3">
      <c r="A105" s="1">
        <f t="shared" si="4"/>
        <v>104</v>
      </c>
      <c r="B105" s="2" t="s">
        <v>129</v>
      </c>
      <c r="C105" s="1" t="s">
        <v>11</v>
      </c>
      <c r="D105" s="2" t="s">
        <v>12</v>
      </c>
      <c r="E105" s="3">
        <v>42182</v>
      </c>
      <c r="F105" s="3">
        <f t="shared" si="5"/>
        <v>45382</v>
      </c>
      <c r="G105" s="4">
        <v>6947</v>
      </c>
      <c r="H105" s="1">
        <f>15*12</f>
        <v>180</v>
      </c>
      <c r="I105" s="4">
        <v>3163.8630129617068</v>
      </c>
      <c r="L105" s="8"/>
      <c r="M105" s="9"/>
      <c r="N105" s="9"/>
      <c r="O105" s="9"/>
      <c r="P105" s="9"/>
      <c r="Q105" s="10"/>
    </row>
    <row r="106" spans="1:17" x14ac:dyDescent="0.3">
      <c r="A106" s="1">
        <f t="shared" si="4"/>
        <v>105</v>
      </c>
      <c r="B106" s="2" t="s">
        <v>130</v>
      </c>
      <c r="C106" s="1" t="s">
        <v>11</v>
      </c>
      <c r="D106" s="2" t="s">
        <v>19</v>
      </c>
      <c r="E106" s="3">
        <v>42184</v>
      </c>
      <c r="F106" s="3">
        <f t="shared" si="5"/>
        <v>45382</v>
      </c>
      <c r="G106" s="4">
        <v>12624</v>
      </c>
      <c r="H106" s="1">
        <f>10*12</f>
        <v>120</v>
      </c>
      <c r="I106" s="4">
        <v>6479.6519782145187</v>
      </c>
      <c r="L106" s="8"/>
      <c r="M106" s="9"/>
      <c r="N106" s="9"/>
      <c r="O106" s="9"/>
      <c r="P106" s="9"/>
      <c r="Q106" s="10"/>
    </row>
    <row r="107" spans="1:17" x14ac:dyDescent="0.3">
      <c r="A107" s="1">
        <f t="shared" si="4"/>
        <v>106</v>
      </c>
      <c r="B107" s="2" t="s">
        <v>131</v>
      </c>
      <c r="C107" s="1" t="s">
        <v>11</v>
      </c>
      <c r="D107" s="2" t="s">
        <v>19</v>
      </c>
      <c r="E107" s="3">
        <v>42184</v>
      </c>
      <c r="F107" s="3">
        <f t="shared" si="5"/>
        <v>45382</v>
      </c>
      <c r="G107" s="4">
        <v>3574</v>
      </c>
      <c r="H107" s="1">
        <f>10*12</f>
        <v>120</v>
      </c>
      <c r="I107" s="4">
        <v>1846.6340791184255</v>
      </c>
      <c r="L107" s="8"/>
      <c r="M107" s="9"/>
      <c r="N107" s="9"/>
      <c r="O107" s="9"/>
      <c r="P107" s="9"/>
      <c r="Q107" s="10"/>
    </row>
    <row r="108" spans="1:17" x14ac:dyDescent="0.3">
      <c r="A108" s="1">
        <f t="shared" si="4"/>
        <v>107</v>
      </c>
      <c r="B108" s="2" t="s">
        <v>132</v>
      </c>
      <c r="C108" s="1" t="s">
        <v>11</v>
      </c>
      <c r="D108" s="2" t="s">
        <v>21</v>
      </c>
      <c r="E108" s="3">
        <v>42185</v>
      </c>
      <c r="F108" s="3">
        <f t="shared" si="5"/>
        <v>45382</v>
      </c>
      <c r="G108" s="4">
        <v>261555</v>
      </c>
      <c r="H108" s="1">
        <f t="shared" ref="H108:H113" si="6">15*12</f>
        <v>180</v>
      </c>
      <c r="I108" s="4">
        <v>131829.45549850844</v>
      </c>
      <c r="L108" s="8"/>
      <c r="M108" s="9"/>
      <c r="N108" s="9"/>
      <c r="O108" s="9"/>
      <c r="P108" s="9"/>
      <c r="Q108" s="10"/>
    </row>
    <row r="109" spans="1:17" x14ac:dyDescent="0.3">
      <c r="A109" s="1">
        <f t="shared" si="4"/>
        <v>108</v>
      </c>
      <c r="B109" s="2" t="s">
        <v>133</v>
      </c>
      <c r="C109" s="1" t="s">
        <v>11</v>
      </c>
      <c r="D109" s="2" t="s">
        <v>17</v>
      </c>
      <c r="E109" s="3">
        <v>42185</v>
      </c>
      <c r="F109" s="3">
        <f t="shared" si="5"/>
        <v>45382</v>
      </c>
      <c r="G109" s="4">
        <v>114757</v>
      </c>
      <c r="H109" s="1">
        <f t="shared" si="6"/>
        <v>180</v>
      </c>
      <c r="I109" s="4">
        <v>57840.044444351406</v>
      </c>
      <c r="L109" s="8"/>
      <c r="M109" s="9"/>
      <c r="N109" s="9"/>
      <c r="O109" s="9"/>
      <c r="P109" s="9"/>
      <c r="Q109" s="10"/>
    </row>
    <row r="110" spans="1:17" x14ac:dyDescent="0.3">
      <c r="A110" s="1">
        <f t="shared" si="4"/>
        <v>109</v>
      </c>
      <c r="B110" s="2" t="s">
        <v>134</v>
      </c>
      <c r="C110" s="1" t="s">
        <v>11</v>
      </c>
      <c r="D110" s="2" t="s">
        <v>17</v>
      </c>
      <c r="E110" s="3">
        <v>42185</v>
      </c>
      <c r="F110" s="3">
        <f t="shared" si="5"/>
        <v>45382</v>
      </c>
      <c r="G110" s="4">
        <v>511793</v>
      </c>
      <c r="H110" s="1">
        <f t="shared" si="6"/>
        <v>180</v>
      </c>
      <c r="I110" s="4">
        <v>257954.8948326284</v>
      </c>
      <c r="L110" s="8"/>
      <c r="M110" s="9"/>
      <c r="N110" s="9"/>
      <c r="O110" s="9"/>
      <c r="P110" s="9"/>
      <c r="Q110" s="10"/>
    </row>
    <row r="111" spans="1:17" x14ac:dyDescent="0.3">
      <c r="A111" s="1">
        <f t="shared" si="4"/>
        <v>110</v>
      </c>
      <c r="B111" s="2" t="s">
        <v>80</v>
      </c>
      <c r="C111" s="1" t="s">
        <v>11</v>
      </c>
      <c r="D111" s="2" t="s">
        <v>16</v>
      </c>
      <c r="E111" s="3">
        <v>42188</v>
      </c>
      <c r="F111" s="3">
        <f t="shared" si="5"/>
        <v>45382</v>
      </c>
      <c r="G111" s="4">
        <v>1900</v>
      </c>
      <c r="H111" s="1">
        <f t="shared" si="6"/>
        <v>180</v>
      </c>
      <c r="I111" s="4">
        <v>947.14718972468154</v>
      </c>
      <c r="L111" s="8"/>
      <c r="M111" s="9"/>
      <c r="N111" s="9"/>
      <c r="O111" s="9"/>
      <c r="P111" s="9"/>
      <c r="Q111" s="10"/>
    </row>
    <row r="112" spans="1:17" x14ac:dyDescent="0.3">
      <c r="A112" s="1">
        <f t="shared" si="4"/>
        <v>111</v>
      </c>
      <c r="B112" s="2" t="s">
        <v>135</v>
      </c>
      <c r="C112" s="1" t="s">
        <v>11</v>
      </c>
      <c r="D112" s="2" t="s">
        <v>44</v>
      </c>
      <c r="E112" s="3">
        <v>42190</v>
      </c>
      <c r="F112" s="3">
        <f t="shared" si="5"/>
        <v>45382</v>
      </c>
      <c r="G112" s="4">
        <v>250</v>
      </c>
      <c r="H112" s="1">
        <f t="shared" si="6"/>
        <v>180</v>
      </c>
      <c r="I112" s="4">
        <v>124.62463022693177</v>
      </c>
      <c r="L112" s="8"/>
      <c r="M112" s="9"/>
      <c r="N112" s="9"/>
      <c r="O112" s="9"/>
      <c r="P112" s="9"/>
      <c r="Q112" s="10"/>
    </row>
    <row r="113" spans="1:17" x14ac:dyDescent="0.3">
      <c r="A113" s="1">
        <f t="shared" si="4"/>
        <v>112</v>
      </c>
      <c r="B113" s="2" t="s">
        <v>136</v>
      </c>
      <c r="C113" s="1" t="s">
        <v>11</v>
      </c>
      <c r="D113" s="2" t="s">
        <v>12</v>
      </c>
      <c r="E113" s="3">
        <v>42191</v>
      </c>
      <c r="F113" s="3">
        <f t="shared" si="5"/>
        <v>45382</v>
      </c>
      <c r="G113" s="4">
        <v>4295</v>
      </c>
      <c r="H113" s="1">
        <f t="shared" si="6"/>
        <v>180</v>
      </c>
      <c r="I113" s="4">
        <v>2141.0511472986877</v>
      </c>
      <c r="L113" s="8"/>
      <c r="M113" s="9"/>
      <c r="N113" s="9"/>
      <c r="O113" s="9"/>
      <c r="P113" s="9"/>
      <c r="Q113" s="10"/>
    </row>
    <row r="114" spans="1:17" x14ac:dyDescent="0.3">
      <c r="A114" s="1">
        <f t="shared" si="4"/>
        <v>113</v>
      </c>
      <c r="B114" s="2" t="s">
        <v>137</v>
      </c>
      <c r="C114" s="1" t="s">
        <v>11</v>
      </c>
      <c r="D114" s="2" t="s">
        <v>19</v>
      </c>
      <c r="E114" s="3">
        <v>42193</v>
      </c>
      <c r="F114" s="3">
        <f t="shared" si="5"/>
        <v>45382</v>
      </c>
      <c r="G114" s="4">
        <v>8772</v>
      </c>
      <c r="H114" s="1">
        <f>10*12</f>
        <v>120</v>
      </c>
      <c r="I114" s="4">
        <v>4472.1493383505258</v>
      </c>
      <c r="L114" s="8"/>
      <c r="M114" s="9"/>
      <c r="N114" s="9"/>
      <c r="O114" s="9"/>
      <c r="P114" s="9"/>
      <c r="Q114" s="10"/>
    </row>
    <row r="115" spans="1:17" x14ac:dyDescent="0.3">
      <c r="A115" s="1">
        <f t="shared" si="4"/>
        <v>114</v>
      </c>
      <c r="B115" s="2" t="s">
        <v>138</v>
      </c>
      <c r="C115" s="1" t="s">
        <v>11</v>
      </c>
      <c r="D115" s="2" t="s">
        <v>12</v>
      </c>
      <c r="E115" s="3">
        <v>42193</v>
      </c>
      <c r="F115" s="3">
        <f t="shared" si="5"/>
        <v>45382</v>
      </c>
      <c r="G115" s="4">
        <v>1500</v>
      </c>
      <c r="H115" s="1">
        <f>15*12</f>
        <v>180</v>
      </c>
      <c r="I115" s="4">
        <v>747.74778136159068</v>
      </c>
      <c r="L115" s="8"/>
      <c r="M115" s="9"/>
      <c r="N115" s="9"/>
      <c r="O115" s="9"/>
      <c r="P115" s="9"/>
      <c r="Q115" s="10"/>
    </row>
    <row r="116" spans="1:17" x14ac:dyDescent="0.3">
      <c r="A116" s="1">
        <f t="shared" si="4"/>
        <v>115</v>
      </c>
      <c r="B116" s="2" t="s">
        <v>139</v>
      </c>
      <c r="C116" s="1" t="s">
        <v>11</v>
      </c>
      <c r="D116" s="2" t="s">
        <v>19</v>
      </c>
      <c r="E116" s="3">
        <v>42201</v>
      </c>
      <c r="F116" s="3">
        <f t="shared" si="5"/>
        <v>45382</v>
      </c>
      <c r="G116" s="4">
        <v>33936</v>
      </c>
      <c r="H116" s="1">
        <f>10*12</f>
        <v>120</v>
      </c>
      <c r="I116" s="4">
        <v>17301.283623605043</v>
      </c>
      <c r="L116" s="8"/>
      <c r="M116" s="9"/>
      <c r="N116" s="9"/>
      <c r="O116" s="9"/>
      <c r="P116" s="9"/>
      <c r="Q116" s="10"/>
    </row>
    <row r="117" spans="1:17" x14ac:dyDescent="0.3">
      <c r="A117" s="1">
        <f t="shared" si="4"/>
        <v>116</v>
      </c>
      <c r="B117" s="2" t="s">
        <v>140</v>
      </c>
      <c r="C117" s="1" t="s">
        <v>11</v>
      </c>
      <c r="D117" s="2" t="s">
        <v>44</v>
      </c>
      <c r="E117" s="3">
        <v>42201</v>
      </c>
      <c r="F117" s="3">
        <f t="shared" si="5"/>
        <v>45382</v>
      </c>
      <c r="G117" s="4">
        <v>13787</v>
      </c>
      <c r="H117" s="1">
        <f>15*12</f>
        <v>180</v>
      </c>
      <c r="I117" s="4">
        <v>6872.799107754834</v>
      </c>
      <c r="L117" s="8"/>
      <c r="M117" s="9"/>
      <c r="N117" s="9"/>
      <c r="O117" s="9"/>
      <c r="P117" s="9"/>
      <c r="Q117" s="10"/>
    </row>
    <row r="118" spans="1:17" x14ac:dyDescent="0.3">
      <c r="A118" s="1">
        <f t="shared" si="4"/>
        <v>117</v>
      </c>
      <c r="B118" s="2" t="s">
        <v>141</v>
      </c>
      <c r="C118" s="1" t="s">
        <v>11</v>
      </c>
      <c r="D118" s="2" t="s">
        <v>19</v>
      </c>
      <c r="E118" s="3">
        <v>42210</v>
      </c>
      <c r="F118" s="3">
        <f t="shared" si="5"/>
        <v>45382</v>
      </c>
      <c r="G118" s="4">
        <v>21762</v>
      </c>
      <c r="H118" s="1">
        <f>10*12</f>
        <v>120</v>
      </c>
      <c r="I118" s="4">
        <v>11094.723426947576</v>
      </c>
      <c r="L118" s="8"/>
      <c r="M118" s="9"/>
      <c r="N118" s="9"/>
      <c r="O118" s="9"/>
      <c r="P118" s="9"/>
      <c r="Q118" s="10"/>
    </row>
    <row r="119" spans="1:17" x14ac:dyDescent="0.3">
      <c r="A119" s="1">
        <f t="shared" si="4"/>
        <v>118</v>
      </c>
      <c r="B119" s="2" t="s">
        <v>142</v>
      </c>
      <c r="C119" s="1" t="s">
        <v>11</v>
      </c>
      <c r="D119" s="2" t="s">
        <v>12</v>
      </c>
      <c r="E119" s="3">
        <v>42210</v>
      </c>
      <c r="F119" s="3">
        <f t="shared" si="5"/>
        <v>45382</v>
      </c>
      <c r="G119" s="4">
        <v>81900</v>
      </c>
      <c r="H119" s="1">
        <f>15*12</f>
        <v>180</v>
      </c>
      <c r="I119" s="4">
        <v>40827.02886234285</v>
      </c>
      <c r="L119" s="8"/>
      <c r="M119" s="9"/>
      <c r="N119" s="9"/>
      <c r="O119" s="9"/>
      <c r="P119" s="9"/>
      <c r="Q119" s="10"/>
    </row>
    <row r="120" spans="1:17" x14ac:dyDescent="0.3">
      <c r="A120" s="1">
        <f t="shared" si="4"/>
        <v>119</v>
      </c>
      <c r="B120" s="2" t="s">
        <v>143</v>
      </c>
      <c r="C120" s="1" t="s">
        <v>11</v>
      </c>
      <c r="D120" s="2" t="s">
        <v>12</v>
      </c>
      <c r="E120" s="3">
        <v>42210</v>
      </c>
      <c r="F120" s="3">
        <f t="shared" si="5"/>
        <v>45382</v>
      </c>
      <c r="G120" s="4">
        <v>1550</v>
      </c>
      <c r="H120" s="1">
        <f>15*12</f>
        <v>180</v>
      </c>
      <c r="I120" s="4">
        <v>772.672707406977</v>
      </c>
      <c r="L120" s="8"/>
      <c r="M120" s="9"/>
      <c r="N120" s="9"/>
      <c r="O120" s="9"/>
      <c r="P120" s="9"/>
      <c r="Q120" s="10"/>
    </row>
    <row r="121" spans="1:17" x14ac:dyDescent="0.3">
      <c r="A121" s="1">
        <f t="shared" si="4"/>
        <v>120</v>
      </c>
      <c r="B121" s="2" t="s">
        <v>144</v>
      </c>
      <c r="C121" s="1" t="s">
        <v>11</v>
      </c>
      <c r="D121" s="2" t="s">
        <v>12</v>
      </c>
      <c r="E121" s="3">
        <v>42212</v>
      </c>
      <c r="F121" s="3">
        <f t="shared" si="5"/>
        <v>45382</v>
      </c>
      <c r="G121" s="4">
        <v>29925</v>
      </c>
      <c r="H121" s="1">
        <f>15*12</f>
        <v>180</v>
      </c>
      <c r="I121" s="4">
        <v>14917.568238163734</v>
      </c>
      <c r="L121" s="8"/>
      <c r="M121" s="9"/>
      <c r="N121" s="9"/>
      <c r="O121" s="9"/>
      <c r="P121" s="9"/>
      <c r="Q121" s="10"/>
    </row>
    <row r="122" spans="1:17" x14ac:dyDescent="0.3">
      <c r="A122" s="1">
        <f t="shared" si="4"/>
        <v>121</v>
      </c>
      <c r="B122" s="2" t="s">
        <v>145</v>
      </c>
      <c r="C122" s="1" t="s">
        <v>11</v>
      </c>
      <c r="D122" s="2" t="s">
        <v>17</v>
      </c>
      <c r="E122" s="3">
        <v>42212</v>
      </c>
      <c r="F122" s="3">
        <f t="shared" si="5"/>
        <v>45382</v>
      </c>
      <c r="G122" s="4">
        <v>16771</v>
      </c>
      <c r="H122" s="1">
        <f>15*12</f>
        <v>180</v>
      </c>
      <c r="I122" s="4">
        <v>8360.3186941434906</v>
      </c>
      <c r="L122" s="8"/>
      <c r="M122" s="9"/>
      <c r="N122" s="9"/>
      <c r="O122" s="9"/>
      <c r="P122" s="9"/>
      <c r="Q122" s="10"/>
    </row>
    <row r="123" spans="1:17" x14ac:dyDescent="0.3">
      <c r="A123" s="1">
        <f t="shared" si="4"/>
        <v>122</v>
      </c>
      <c r="B123" s="2" t="s">
        <v>146</v>
      </c>
      <c r="C123" s="1" t="s">
        <v>11</v>
      </c>
      <c r="D123" s="2" t="s">
        <v>19</v>
      </c>
      <c r="E123" s="3">
        <v>42213</v>
      </c>
      <c r="F123" s="3">
        <f t="shared" si="5"/>
        <v>45382</v>
      </c>
      <c r="G123" s="4">
        <v>14288</v>
      </c>
      <c r="H123" s="1">
        <f>10*12</f>
        <v>120</v>
      </c>
      <c r="I123" s="4">
        <v>7284.3216765107518</v>
      </c>
      <c r="L123" s="8"/>
      <c r="M123" s="9"/>
      <c r="N123" s="9"/>
      <c r="O123" s="9"/>
      <c r="P123" s="9"/>
      <c r="Q123" s="10"/>
    </row>
    <row r="124" spans="1:17" x14ac:dyDescent="0.3">
      <c r="A124" s="1">
        <f t="shared" si="4"/>
        <v>123</v>
      </c>
      <c r="B124" s="2" t="s">
        <v>147</v>
      </c>
      <c r="C124" s="1" t="s">
        <v>11</v>
      </c>
      <c r="D124" s="2" t="s">
        <v>12</v>
      </c>
      <c r="E124" s="3">
        <v>42213</v>
      </c>
      <c r="F124" s="3">
        <f t="shared" si="5"/>
        <v>45382</v>
      </c>
      <c r="G124" s="4">
        <v>2458</v>
      </c>
      <c r="H124" s="1">
        <f>15*12</f>
        <v>180</v>
      </c>
      <c r="I124" s="4">
        <v>1225.3093643911934</v>
      </c>
      <c r="L124" s="8"/>
      <c r="M124" s="9"/>
      <c r="N124" s="9"/>
      <c r="O124" s="9"/>
      <c r="P124" s="9"/>
      <c r="Q124" s="10"/>
    </row>
    <row r="125" spans="1:17" x14ac:dyDescent="0.3">
      <c r="A125" s="1">
        <f t="shared" si="4"/>
        <v>124</v>
      </c>
      <c r="B125" s="2" t="s">
        <v>148</v>
      </c>
      <c r="C125" s="1" t="s">
        <v>11</v>
      </c>
      <c r="D125" s="2" t="s">
        <v>12</v>
      </c>
      <c r="E125" s="3">
        <v>42213</v>
      </c>
      <c r="F125" s="3">
        <f t="shared" si="5"/>
        <v>45382</v>
      </c>
      <c r="G125" s="4">
        <v>7311</v>
      </c>
      <c r="H125" s="1">
        <f>15*12</f>
        <v>180</v>
      </c>
      <c r="I125" s="4">
        <v>3644.522686356393</v>
      </c>
      <c r="L125" s="8"/>
      <c r="M125" s="9"/>
      <c r="N125" s="9"/>
      <c r="O125" s="9"/>
      <c r="P125" s="9"/>
      <c r="Q125" s="10"/>
    </row>
    <row r="126" spans="1:17" x14ac:dyDescent="0.3">
      <c r="A126" s="1">
        <f t="shared" si="4"/>
        <v>125</v>
      </c>
      <c r="B126" s="2" t="s">
        <v>149</v>
      </c>
      <c r="C126" s="1" t="s">
        <v>11</v>
      </c>
      <c r="D126" s="2" t="s">
        <v>12</v>
      </c>
      <c r="E126" s="3">
        <v>42215</v>
      </c>
      <c r="F126" s="3">
        <f t="shared" si="5"/>
        <v>45382</v>
      </c>
      <c r="G126" s="4">
        <v>5775</v>
      </c>
      <c r="H126" s="1">
        <f>15*12</f>
        <v>180</v>
      </c>
      <c r="I126" s="4">
        <v>2878.8289582421239</v>
      </c>
      <c r="L126" s="8"/>
      <c r="M126" s="9"/>
      <c r="N126" s="9"/>
      <c r="O126" s="9"/>
      <c r="P126" s="9"/>
      <c r="Q126" s="10"/>
    </row>
    <row r="127" spans="1:17" x14ac:dyDescent="0.3">
      <c r="A127" s="1">
        <f t="shared" si="4"/>
        <v>126</v>
      </c>
      <c r="B127" s="2" t="s">
        <v>150</v>
      </c>
      <c r="C127" s="1" t="s">
        <v>11</v>
      </c>
      <c r="D127" s="2" t="s">
        <v>17</v>
      </c>
      <c r="E127" s="3">
        <v>42228</v>
      </c>
      <c r="F127" s="3">
        <f t="shared" si="5"/>
        <v>45382</v>
      </c>
      <c r="G127" s="4">
        <v>4470</v>
      </c>
      <c r="H127" s="1">
        <f>15*12</f>
        <v>180</v>
      </c>
      <c r="I127" s="4">
        <v>2203.5953667262779</v>
      </c>
      <c r="L127" s="8"/>
      <c r="M127" s="9"/>
      <c r="N127" s="9"/>
      <c r="O127" s="9"/>
      <c r="P127" s="9"/>
      <c r="Q127" s="10"/>
    </row>
    <row r="128" spans="1:17" x14ac:dyDescent="0.3">
      <c r="A128" s="1">
        <f t="shared" si="4"/>
        <v>127</v>
      </c>
      <c r="B128" s="2" t="s">
        <v>151</v>
      </c>
      <c r="C128" s="1" t="s">
        <v>11</v>
      </c>
      <c r="D128" s="2" t="s">
        <v>17</v>
      </c>
      <c r="E128" s="3">
        <v>42228</v>
      </c>
      <c r="F128" s="3">
        <f t="shared" si="5"/>
        <v>45382</v>
      </c>
      <c r="G128" s="4">
        <v>16825</v>
      </c>
      <c r="H128" s="1">
        <f>15*12</f>
        <v>180</v>
      </c>
      <c r="I128" s="4">
        <v>8294.2935224093126</v>
      </c>
      <c r="L128" s="8"/>
      <c r="M128" s="9"/>
      <c r="N128" s="9"/>
      <c r="O128" s="9"/>
      <c r="P128" s="9"/>
      <c r="Q128" s="10"/>
    </row>
    <row r="129" spans="1:17" x14ac:dyDescent="0.3">
      <c r="A129" s="1">
        <f t="shared" si="4"/>
        <v>128</v>
      </c>
      <c r="B129" s="2" t="s">
        <v>152</v>
      </c>
      <c r="C129" s="1" t="s">
        <v>11</v>
      </c>
      <c r="D129" s="2" t="s">
        <v>19</v>
      </c>
      <c r="E129" s="3">
        <v>42230</v>
      </c>
      <c r="F129" s="3">
        <f t="shared" si="5"/>
        <v>45382</v>
      </c>
      <c r="G129" s="4">
        <v>1280</v>
      </c>
      <c r="H129" s="1">
        <f>10*12</f>
        <v>120</v>
      </c>
      <c r="I129" s="4">
        <v>643.76120203898631</v>
      </c>
      <c r="L129" s="8"/>
      <c r="M129" s="9"/>
      <c r="N129" s="9"/>
      <c r="O129" s="9"/>
      <c r="P129" s="9"/>
      <c r="Q129" s="10"/>
    </row>
    <row r="130" spans="1:17" x14ac:dyDescent="0.3">
      <c r="A130" s="1">
        <f t="shared" si="4"/>
        <v>129</v>
      </c>
      <c r="B130" s="2" t="s">
        <v>153</v>
      </c>
      <c r="C130" s="1" t="s">
        <v>11</v>
      </c>
      <c r="D130" s="2" t="s">
        <v>16</v>
      </c>
      <c r="E130" s="3">
        <v>42233</v>
      </c>
      <c r="F130" s="3">
        <f t="shared" si="5"/>
        <v>45382</v>
      </c>
      <c r="G130" s="4">
        <v>1900</v>
      </c>
      <c r="H130" s="1">
        <f>15*12</f>
        <v>180</v>
      </c>
      <c r="I130" s="4">
        <v>936.65127444741108</v>
      </c>
      <c r="L130" s="8"/>
      <c r="M130" s="9"/>
      <c r="N130" s="9"/>
      <c r="O130" s="9"/>
      <c r="P130" s="9"/>
      <c r="Q130" s="10"/>
    </row>
    <row r="131" spans="1:17" x14ac:dyDescent="0.3">
      <c r="A131" s="1">
        <f t="shared" ref="A131:A194" si="7">A130+1</f>
        <v>130</v>
      </c>
      <c r="B131" s="2" t="s">
        <v>154</v>
      </c>
      <c r="C131" s="1" t="s">
        <v>11</v>
      </c>
      <c r="D131" s="2" t="s">
        <v>19</v>
      </c>
      <c r="E131" s="3">
        <v>42235</v>
      </c>
      <c r="F131" s="3">
        <f t="shared" si="5"/>
        <v>45382</v>
      </c>
      <c r="G131" s="4">
        <v>2983</v>
      </c>
      <c r="H131" s="1">
        <f>10*12</f>
        <v>120</v>
      </c>
      <c r="I131" s="4">
        <v>1500.2653638142938</v>
      </c>
      <c r="L131" s="8"/>
      <c r="M131" s="9"/>
      <c r="N131" s="9"/>
      <c r="O131" s="9"/>
      <c r="P131" s="9"/>
      <c r="Q131" s="10"/>
    </row>
    <row r="132" spans="1:17" x14ac:dyDescent="0.3">
      <c r="A132" s="1">
        <f t="shared" si="7"/>
        <v>131</v>
      </c>
      <c r="B132" s="2" t="s">
        <v>155</v>
      </c>
      <c r="C132" s="1" t="s">
        <v>11</v>
      </c>
      <c r="D132" s="2" t="s">
        <v>17</v>
      </c>
      <c r="E132" s="3">
        <v>42238</v>
      </c>
      <c r="F132" s="3">
        <f t="shared" ref="F132:F195" si="8">F131</f>
        <v>45382</v>
      </c>
      <c r="G132" s="4">
        <v>4709</v>
      </c>
      <c r="H132" s="1">
        <f>15*12</f>
        <v>180</v>
      </c>
      <c r="I132" s="4">
        <v>2321.4162375646629</v>
      </c>
      <c r="L132" s="8"/>
      <c r="M132" s="9"/>
      <c r="N132" s="9"/>
      <c r="O132" s="9"/>
      <c r="P132" s="9"/>
      <c r="Q132" s="10"/>
    </row>
    <row r="133" spans="1:17" x14ac:dyDescent="0.3">
      <c r="A133" s="1">
        <f t="shared" si="7"/>
        <v>132</v>
      </c>
      <c r="B133" s="2" t="s">
        <v>156</v>
      </c>
      <c r="C133" s="1" t="s">
        <v>11</v>
      </c>
      <c r="D133" s="2" t="s">
        <v>17</v>
      </c>
      <c r="E133" s="3">
        <v>42238</v>
      </c>
      <c r="F133" s="3">
        <f t="shared" si="8"/>
        <v>45382</v>
      </c>
      <c r="G133" s="4">
        <v>12514</v>
      </c>
      <c r="H133" s="1">
        <f>15*12</f>
        <v>180</v>
      </c>
      <c r="I133" s="4">
        <v>6169.0810781236332</v>
      </c>
      <c r="L133" s="8"/>
      <c r="M133" s="9"/>
      <c r="N133" s="9"/>
      <c r="O133" s="9"/>
      <c r="P133" s="9"/>
      <c r="Q133" s="10"/>
    </row>
    <row r="134" spans="1:17" x14ac:dyDescent="0.3">
      <c r="A134" s="1">
        <f t="shared" si="7"/>
        <v>133</v>
      </c>
      <c r="B134" s="2" t="s">
        <v>157</v>
      </c>
      <c r="C134" s="1" t="s">
        <v>11</v>
      </c>
      <c r="D134" s="2" t="s">
        <v>19</v>
      </c>
      <c r="E134" s="3">
        <v>42240</v>
      </c>
      <c r="F134" s="3">
        <f t="shared" si="8"/>
        <v>45382</v>
      </c>
      <c r="G134" s="4">
        <v>16745</v>
      </c>
      <c r="H134" s="1">
        <f>10*12</f>
        <v>120</v>
      </c>
      <c r="I134" s="4">
        <v>8421.7041626115824</v>
      </c>
      <c r="L134" s="8"/>
      <c r="M134" s="9"/>
      <c r="N134" s="9"/>
      <c r="O134" s="9"/>
      <c r="P134" s="9"/>
      <c r="Q134" s="10"/>
    </row>
    <row r="135" spans="1:17" x14ac:dyDescent="0.3">
      <c r="A135" s="1">
        <f t="shared" si="7"/>
        <v>134</v>
      </c>
      <c r="B135" s="2" t="s">
        <v>158</v>
      </c>
      <c r="C135" s="1" t="s">
        <v>11</v>
      </c>
      <c r="D135" s="2" t="s">
        <v>12</v>
      </c>
      <c r="E135" s="3">
        <v>42240</v>
      </c>
      <c r="F135" s="3">
        <f t="shared" si="8"/>
        <v>45382</v>
      </c>
      <c r="G135" s="4">
        <v>1176</v>
      </c>
      <c r="H135" s="1">
        <f>15*12</f>
        <v>180</v>
      </c>
      <c r="I135" s="4">
        <v>579.73784144745025</v>
      </c>
      <c r="L135" s="8"/>
      <c r="M135" s="9"/>
      <c r="N135" s="9"/>
      <c r="O135" s="9"/>
      <c r="P135" s="9"/>
      <c r="Q135" s="10"/>
    </row>
    <row r="136" spans="1:17" x14ac:dyDescent="0.3">
      <c r="A136" s="1">
        <f t="shared" si="7"/>
        <v>135</v>
      </c>
      <c r="B136" s="2" t="s">
        <v>159</v>
      </c>
      <c r="C136" s="1" t="s">
        <v>11</v>
      </c>
      <c r="D136" s="2" t="s">
        <v>19</v>
      </c>
      <c r="E136" s="3">
        <v>42243</v>
      </c>
      <c r="F136" s="3">
        <f t="shared" si="8"/>
        <v>45382</v>
      </c>
      <c r="G136" s="4">
        <v>15160</v>
      </c>
      <c r="H136" s="1">
        <f>10*12</f>
        <v>120</v>
      </c>
      <c r="I136" s="4">
        <v>7624.5467366492439</v>
      </c>
      <c r="L136" s="8"/>
      <c r="M136" s="9"/>
      <c r="N136" s="9"/>
      <c r="O136" s="9"/>
      <c r="P136" s="9"/>
      <c r="Q136" s="10"/>
    </row>
    <row r="137" spans="1:17" x14ac:dyDescent="0.3">
      <c r="A137" s="1">
        <f t="shared" si="7"/>
        <v>136</v>
      </c>
      <c r="B137" s="2" t="s">
        <v>160</v>
      </c>
      <c r="C137" s="1" t="s">
        <v>11</v>
      </c>
      <c r="D137" s="2" t="s">
        <v>19</v>
      </c>
      <c r="E137" s="3">
        <v>42248</v>
      </c>
      <c r="F137" s="3">
        <f t="shared" si="8"/>
        <v>45382</v>
      </c>
      <c r="G137" s="4">
        <v>973</v>
      </c>
      <c r="H137" s="1">
        <f>10*12</f>
        <v>120</v>
      </c>
      <c r="I137" s="4">
        <v>482.71324581916372</v>
      </c>
      <c r="L137" s="8"/>
      <c r="M137" s="9"/>
      <c r="N137" s="9"/>
      <c r="O137" s="9"/>
      <c r="P137" s="9"/>
      <c r="Q137" s="10"/>
    </row>
    <row r="138" spans="1:17" x14ac:dyDescent="0.3">
      <c r="A138" s="1">
        <f t="shared" si="7"/>
        <v>137</v>
      </c>
      <c r="B138" s="2" t="s">
        <v>161</v>
      </c>
      <c r="C138" s="1" t="s">
        <v>11</v>
      </c>
      <c r="D138" s="2" t="s">
        <v>44</v>
      </c>
      <c r="E138" s="3">
        <v>42249</v>
      </c>
      <c r="F138" s="3">
        <f t="shared" si="8"/>
        <v>45382</v>
      </c>
      <c r="G138" s="4">
        <v>3900</v>
      </c>
      <c r="H138" s="1">
        <f>15*12</f>
        <v>180</v>
      </c>
      <c r="I138" s="4">
        <v>1901.3302377468126</v>
      </c>
      <c r="L138" s="8"/>
      <c r="M138" s="9"/>
      <c r="N138" s="9"/>
      <c r="O138" s="9"/>
      <c r="P138" s="9"/>
      <c r="Q138" s="10"/>
    </row>
    <row r="139" spans="1:17" x14ac:dyDescent="0.3">
      <c r="A139" s="1">
        <f t="shared" si="7"/>
        <v>138</v>
      </c>
      <c r="B139" s="2" t="s">
        <v>162</v>
      </c>
      <c r="C139" s="1" t="s">
        <v>11</v>
      </c>
      <c r="D139" s="2" t="s">
        <v>17</v>
      </c>
      <c r="E139" s="3">
        <v>42255</v>
      </c>
      <c r="F139" s="3">
        <f t="shared" si="8"/>
        <v>45382</v>
      </c>
      <c r="G139" s="4">
        <v>10393</v>
      </c>
      <c r="H139" s="1">
        <f>15*12</f>
        <v>180</v>
      </c>
      <c r="I139" s="4">
        <v>5066.8013233083657</v>
      </c>
      <c r="L139" s="8"/>
      <c r="M139" s="9"/>
      <c r="N139" s="9"/>
      <c r="O139" s="9"/>
      <c r="P139" s="9"/>
      <c r="Q139" s="10"/>
    </row>
    <row r="140" spans="1:17" x14ac:dyDescent="0.3">
      <c r="A140" s="1">
        <f t="shared" si="7"/>
        <v>139</v>
      </c>
      <c r="B140" s="2" t="s">
        <v>163</v>
      </c>
      <c r="C140" s="1" t="s">
        <v>11</v>
      </c>
      <c r="D140" s="2" t="s">
        <v>44</v>
      </c>
      <c r="E140" s="3">
        <v>42261</v>
      </c>
      <c r="F140" s="3">
        <f t="shared" si="8"/>
        <v>45382</v>
      </c>
      <c r="G140" s="4">
        <v>743</v>
      </c>
      <c r="H140" s="1">
        <f>15*12</f>
        <v>180</v>
      </c>
      <c r="I140" s="4">
        <v>362.22778631945687</v>
      </c>
      <c r="L140" s="8"/>
      <c r="M140" s="9"/>
      <c r="N140" s="9"/>
      <c r="O140" s="9"/>
      <c r="P140" s="9"/>
      <c r="Q140" s="10"/>
    </row>
    <row r="141" spans="1:17" x14ac:dyDescent="0.3">
      <c r="A141" s="1">
        <f t="shared" si="7"/>
        <v>140</v>
      </c>
      <c r="B141" s="2" t="s">
        <v>159</v>
      </c>
      <c r="C141" s="1" t="s">
        <v>11</v>
      </c>
      <c r="D141" s="2" t="s">
        <v>19</v>
      </c>
      <c r="E141" s="3">
        <v>42262</v>
      </c>
      <c r="F141" s="3">
        <f t="shared" si="8"/>
        <v>45382</v>
      </c>
      <c r="G141" s="4">
        <v>18170</v>
      </c>
      <c r="H141" s="1">
        <f>10*12</f>
        <v>120</v>
      </c>
      <c r="I141" s="4">
        <v>9014.2853818439926</v>
      </c>
      <c r="L141" s="8"/>
      <c r="M141" s="9"/>
      <c r="N141" s="9"/>
      <c r="O141" s="9"/>
      <c r="P141" s="9"/>
      <c r="Q141" s="10"/>
    </row>
    <row r="142" spans="1:17" x14ac:dyDescent="0.3">
      <c r="A142" s="1">
        <f t="shared" si="7"/>
        <v>141</v>
      </c>
      <c r="B142" s="2" t="s">
        <v>164</v>
      </c>
      <c r="C142" s="1" t="s">
        <v>11</v>
      </c>
      <c r="D142" s="2" t="s">
        <v>19</v>
      </c>
      <c r="E142" s="3">
        <v>42262</v>
      </c>
      <c r="F142" s="3">
        <f t="shared" si="8"/>
        <v>45382</v>
      </c>
      <c r="G142" s="4">
        <v>9436</v>
      </c>
      <c r="H142" s="1">
        <f>10*12</f>
        <v>120</v>
      </c>
      <c r="I142" s="4">
        <v>4681.2766572966393</v>
      </c>
      <c r="L142" s="8"/>
      <c r="M142" s="9"/>
      <c r="N142" s="9"/>
      <c r="O142" s="9"/>
      <c r="P142" s="9"/>
      <c r="Q142" s="10"/>
    </row>
    <row r="143" spans="1:17" x14ac:dyDescent="0.3">
      <c r="A143" s="1">
        <f t="shared" si="7"/>
        <v>142</v>
      </c>
      <c r="B143" s="2" t="s">
        <v>165</v>
      </c>
      <c r="C143" s="1" t="s">
        <v>11</v>
      </c>
      <c r="D143" s="2" t="s">
        <v>12</v>
      </c>
      <c r="E143" s="3">
        <v>42262</v>
      </c>
      <c r="F143" s="3">
        <f t="shared" si="8"/>
        <v>45382</v>
      </c>
      <c r="G143" s="4">
        <v>55738</v>
      </c>
      <c r="H143" s="1">
        <f>15*12</f>
        <v>180</v>
      </c>
      <c r="I143" s="4">
        <v>27173.421741418424</v>
      </c>
      <c r="L143" s="8"/>
      <c r="M143" s="9"/>
      <c r="N143" s="9"/>
      <c r="O143" s="9"/>
      <c r="P143" s="9"/>
      <c r="Q143" s="10"/>
    </row>
    <row r="144" spans="1:17" x14ac:dyDescent="0.3">
      <c r="A144" s="1">
        <f t="shared" si="7"/>
        <v>143</v>
      </c>
      <c r="B144" s="2" t="s">
        <v>166</v>
      </c>
      <c r="C144" s="1" t="s">
        <v>11</v>
      </c>
      <c r="D144" s="2" t="s">
        <v>17</v>
      </c>
      <c r="E144" s="3">
        <v>42262</v>
      </c>
      <c r="F144" s="3">
        <f t="shared" si="8"/>
        <v>45382</v>
      </c>
      <c r="G144" s="4">
        <v>9979</v>
      </c>
      <c r="H144" s="1">
        <f>15*12</f>
        <v>180</v>
      </c>
      <c r="I144" s="4">
        <v>4864.9678057629335</v>
      </c>
      <c r="L144" s="8"/>
      <c r="M144" s="9"/>
      <c r="N144" s="9"/>
      <c r="O144" s="9"/>
      <c r="P144" s="9"/>
      <c r="Q144" s="10"/>
    </row>
    <row r="145" spans="1:17" x14ac:dyDescent="0.3">
      <c r="A145" s="1">
        <f t="shared" si="7"/>
        <v>144</v>
      </c>
      <c r="B145" s="2" t="s">
        <v>167</v>
      </c>
      <c r="C145" s="1" t="s">
        <v>11</v>
      </c>
      <c r="D145" s="2" t="s">
        <v>16</v>
      </c>
      <c r="E145" s="3">
        <v>42263</v>
      </c>
      <c r="F145" s="3">
        <f t="shared" si="8"/>
        <v>45382</v>
      </c>
      <c r="G145" s="4">
        <v>1850</v>
      </c>
      <c r="H145" s="1">
        <f>15*12</f>
        <v>180</v>
      </c>
      <c r="I145" s="4">
        <v>901.91306149528293</v>
      </c>
      <c r="L145" s="8"/>
      <c r="M145" s="9"/>
      <c r="N145" s="9"/>
      <c r="O145" s="9"/>
      <c r="P145" s="9"/>
      <c r="Q145" s="10"/>
    </row>
    <row r="146" spans="1:17" x14ac:dyDescent="0.3">
      <c r="A146" s="1">
        <f t="shared" si="7"/>
        <v>145</v>
      </c>
      <c r="B146" s="2" t="s">
        <v>168</v>
      </c>
      <c r="C146" s="1" t="s">
        <v>11</v>
      </c>
      <c r="D146" s="2" t="s">
        <v>16</v>
      </c>
      <c r="E146" s="3">
        <v>42263</v>
      </c>
      <c r="F146" s="3">
        <f t="shared" si="8"/>
        <v>45382</v>
      </c>
      <c r="G146" s="4">
        <v>1850</v>
      </c>
      <c r="H146" s="1">
        <f>15*12</f>
        <v>180</v>
      </c>
      <c r="I146" s="4">
        <v>901.91306149528293</v>
      </c>
      <c r="L146" s="8"/>
      <c r="M146" s="9"/>
      <c r="N146" s="9"/>
      <c r="O146" s="9"/>
      <c r="P146" s="9"/>
      <c r="Q146" s="10"/>
    </row>
    <row r="147" spans="1:17" x14ac:dyDescent="0.3">
      <c r="A147" s="1">
        <f t="shared" si="7"/>
        <v>146</v>
      </c>
      <c r="B147" s="2" t="s">
        <v>169</v>
      </c>
      <c r="C147" s="1" t="s">
        <v>11</v>
      </c>
      <c r="D147" s="2" t="s">
        <v>16</v>
      </c>
      <c r="E147" s="3">
        <v>42269</v>
      </c>
      <c r="F147" s="3">
        <f t="shared" si="8"/>
        <v>45382</v>
      </c>
      <c r="G147" s="4">
        <v>4500</v>
      </c>
      <c r="H147" s="1">
        <f>15*12</f>
        <v>180</v>
      </c>
      <c r="I147" s="4">
        <v>2193.842582015553</v>
      </c>
      <c r="L147" s="8"/>
      <c r="M147" s="9"/>
      <c r="N147" s="9"/>
      <c r="O147" s="9"/>
      <c r="P147" s="9"/>
      <c r="Q147" s="10"/>
    </row>
    <row r="148" spans="1:17" x14ac:dyDescent="0.3">
      <c r="A148" s="1">
        <f t="shared" si="7"/>
        <v>147</v>
      </c>
      <c r="B148" s="2" t="s">
        <v>159</v>
      </c>
      <c r="C148" s="1" t="s">
        <v>11</v>
      </c>
      <c r="D148" s="2" t="s">
        <v>19</v>
      </c>
      <c r="E148" s="3">
        <v>42276</v>
      </c>
      <c r="F148" s="3">
        <f t="shared" si="8"/>
        <v>45382</v>
      </c>
      <c r="G148" s="4">
        <v>1554</v>
      </c>
      <c r="H148" s="1">
        <f>10*12</f>
        <v>120</v>
      </c>
      <c r="I148" s="4">
        <v>770.95209044499529</v>
      </c>
      <c r="L148" s="8"/>
      <c r="M148" s="9"/>
      <c r="N148" s="9"/>
      <c r="O148" s="9"/>
      <c r="P148" s="9"/>
      <c r="Q148" s="10"/>
    </row>
    <row r="149" spans="1:17" x14ac:dyDescent="0.3">
      <c r="A149" s="1">
        <f t="shared" si="7"/>
        <v>148</v>
      </c>
      <c r="B149" s="2" t="s">
        <v>170</v>
      </c>
      <c r="C149" s="1" t="s">
        <v>11</v>
      </c>
      <c r="D149" s="2" t="s">
        <v>19</v>
      </c>
      <c r="E149" s="3">
        <v>42276</v>
      </c>
      <c r="F149" s="3">
        <f t="shared" si="8"/>
        <v>45382</v>
      </c>
      <c r="G149" s="4">
        <v>9872</v>
      </c>
      <c r="H149" s="1">
        <f>10*12</f>
        <v>120</v>
      </c>
      <c r="I149" s="4">
        <v>4897.5798178075902</v>
      </c>
      <c r="L149" s="8"/>
      <c r="M149" s="9"/>
      <c r="N149" s="9"/>
      <c r="O149" s="9"/>
      <c r="P149" s="9"/>
      <c r="Q149" s="10"/>
    </row>
    <row r="150" spans="1:17" x14ac:dyDescent="0.3">
      <c r="A150" s="1">
        <f t="shared" si="7"/>
        <v>149</v>
      </c>
      <c r="B150" s="2" t="s">
        <v>171</v>
      </c>
      <c r="C150" s="1" t="s">
        <v>11</v>
      </c>
      <c r="D150" s="2" t="s">
        <v>12</v>
      </c>
      <c r="E150" s="3">
        <v>42276</v>
      </c>
      <c r="F150" s="3">
        <f t="shared" si="8"/>
        <v>45382</v>
      </c>
      <c r="G150" s="4">
        <v>79091</v>
      </c>
      <c r="H150" s="1">
        <f>15*12</f>
        <v>180</v>
      </c>
      <c r="I150" s="4">
        <v>38558.489700931575</v>
      </c>
      <c r="L150" s="8"/>
      <c r="M150" s="9"/>
      <c r="N150" s="9"/>
      <c r="O150" s="9"/>
      <c r="P150" s="9"/>
      <c r="Q150" s="10"/>
    </row>
    <row r="151" spans="1:17" x14ac:dyDescent="0.3">
      <c r="A151" s="1">
        <f t="shared" si="7"/>
        <v>150</v>
      </c>
      <c r="B151" s="2" t="s">
        <v>172</v>
      </c>
      <c r="C151" s="1" t="s">
        <v>11</v>
      </c>
      <c r="D151" s="2" t="s">
        <v>21</v>
      </c>
      <c r="E151" s="3">
        <v>42298</v>
      </c>
      <c r="F151" s="3">
        <f t="shared" si="8"/>
        <v>45382</v>
      </c>
      <c r="G151" s="4">
        <v>239806</v>
      </c>
      <c r="H151" s="1">
        <f>15*12</f>
        <v>180</v>
      </c>
      <c r="I151" s="4">
        <v>115585.16981432616</v>
      </c>
      <c r="L151" s="8"/>
      <c r="M151" s="9"/>
      <c r="N151" s="9"/>
      <c r="O151" s="9"/>
      <c r="P151" s="9"/>
      <c r="Q151" s="10"/>
    </row>
    <row r="152" spans="1:17" x14ac:dyDescent="0.3">
      <c r="A152" s="1">
        <f t="shared" si="7"/>
        <v>151</v>
      </c>
      <c r="B152" s="2" t="s">
        <v>173</v>
      </c>
      <c r="C152" s="1" t="s">
        <v>11</v>
      </c>
      <c r="D152" s="2" t="s">
        <v>19</v>
      </c>
      <c r="E152" s="3">
        <v>42299</v>
      </c>
      <c r="F152" s="3">
        <f t="shared" si="8"/>
        <v>45382</v>
      </c>
      <c r="G152" s="4">
        <v>30241</v>
      </c>
      <c r="H152" s="1">
        <f>10*12</f>
        <v>120</v>
      </c>
      <c r="I152" s="4">
        <v>14793.611457376119</v>
      </c>
      <c r="L152" s="8"/>
      <c r="M152" s="9"/>
      <c r="N152" s="9"/>
      <c r="O152" s="9"/>
      <c r="P152" s="9"/>
      <c r="Q152" s="10"/>
    </row>
    <row r="153" spans="1:17" x14ac:dyDescent="0.3">
      <c r="A153" s="1">
        <f t="shared" si="7"/>
        <v>152</v>
      </c>
      <c r="B153" s="2" t="s">
        <v>174</v>
      </c>
      <c r="C153" s="1" t="s">
        <v>11</v>
      </c>
      <c r="D153" s="2" t="s">
        <v>17</v>
      </c>
      <c r="E153" s="3">
        <v>42299</v>
      </c>
      <c r="F153" s="3">
        <f t="shared" si="8"/>
        <v>45382</v>
      </c>
      <c r="G153" s="4">
        <v>6587</v>
      </c>
      <c r="H153" s="1">
        <f t="shared" ref="H153:H160" si="9">15*12</f>
        <v>180</v>
      </c>
      <c r="I153" s="4">
        <v>3174.8976821554361</v>
      </c>
      <c r="L153" s="8"/>
      <c r="M153" s="9"/>
      <c r="N153" s="9"/>
      <c r="O153" s="9"/>
      <c r="P153" s="9"/>
      <c r="Q153" s="10"/>
    </row>
    <row r="154" spans="1:17" x14ac:dyDescent="0.3">
      <c r="A154" s="1">
        <f t="shared" si="7"/>
        <v>153</v>
      </c>
      <c r="B154" s="2" t="s">
        <v>175</v>
      </c>
      <c r="C154" s="1" t="s">
        <v>11</v>
      </c>
      <c r="D154" s="2" t="s">
        <v>12</v>
      </c>
      <c r="E154" s="3">
        <v>42299</v>
      </c>
      <c r="F154" s="3">
        <f t="shared" si="8"/>
        <v>45382</v>
      </c>
      <c r="G154" s="4">
        <v>31252</v>
      </c>
      <c r="H154" s="1">
        <f t="shared" si="9"/>
        <v>180</v>
      </c>
      <c r="I154" s="4">
        <v>15063.291690105007</v>
      </c>
      <c r="L154" s="8"/>
      <c r="M154" s="9"/>
      <c r="N154" s="9"/>
      <c r="O154" s="9"/>
      <c r="P154" s="9"/>
      <c r="Q154" s="10"/>
    </row>
    <row r="155" spans="1:17" x14ac:dyDescent="0.3">
      <c r="A155" s="1">
        <f t="shared" si="7"/>
        <v>154</v>
      </c>
      <c r="B155" s="2" t="s">
        <v>176</v>
      </c>
      <c r="C155" s="1" t="s">
        <v>11</v>
      </c>
      <c r="D155" s="2" t="s">
        <v>42</v>
      </c>
      <c r="E155" s="3">
        <v>42305</v>
      </c>
      <c r="F155" s="3">
        <f t="shared" si="8"/>
        <v>45382</v>
      </c>
      <c r="G155" s="4">
        <v>13400</v>
      </c>
      <c r="H155" s="1">
        <f t="shared" si="9"/>
        <v>180</v>
      </c>
      <c r="I155" s="4">
        <v>6458.7261182454595</v>
      </c>
      <c r="L155" s="8"/>
      <c r="M155" s="9"/>
      <c r="N155" s="9"/>
      <c r="O155" s="9"/>
      <c r="P155" s="9"/>
      <c r="Q155" s="10"/>
    </row>
    <row r="156" spans="1:17" x14ac:dyDescent="0.3">
      <c r="A156" s="1">
        <f t="shared" si="7"/>
        <v>155</v>
      </c>
      <c r="B156" s="2" t="s">
        <v>177</v>
      </c>
      <c r="C156" s="1" t="s">
        <v>11</v>
      </c>
      <c r="D156" s="2" t="s">
        <v>37</v>
      </c>
      <c r="E156" s="3">
        <v>42305</v>
      </c>
      <c r="F156" s="3">
        <f t="shared" si="8"/>
        <v>45382</v>
      </c>
      <c r="G156" s="4">
        <v>11500</v>
      </c>
      <c r="H156" s="1">
        <f t="shared" si="9"/>
        <v>180</v>
      </c>
      <c r="I156" s="4">
        <v>5542.9365940166253</v>
      </c>
      <c r="L156" s="8"/>
      <c r="M156" s="9"/>
      <c r="N156" s="9"/>
      <c r="O156" s="9"/>
      <c r="P156" s="9"/>
      <c r="Q156" s="10"/>
    </row>
    <row r="157" spans="1:17" x14ac:dyDescent="0.3">
      <c r="A157" s="1">
        <f t="shared" si="7"/>
        <v>156</v>
      </c>
      <c r="B157" s="2" t="s">
        <v>178</v>
      </c>
      <c r="C157" s="1" t="s">
        <v>11</v>
      </c>
      <c r="D157" s="2" t="s">
        <v>44</v>
      </c>
      <c r="E157" s="3">
        <v>42306</v>
      </c>
      <c r="F157" s="3">
        <f t="shared" si="8"/>
        <v>45382</v>
      </c>
      <c r="G157" s="4">
        <v>2540</v>
      </c>
      <c r="H157" s="1">
        <f t="shared" si="9"/>
        <v>180</v>
      </c>
      <c r="I157" s="4">
        <v>1224.2659955480199</v>
      </c>
      <c r="L157" s="8"/>
      <c r="M157" s="9"/>
      <c r="N157" s="9"/>
      <c r="O157" s="9"/>
      <c r="P157" s="9"/>
      <c r="Q157" s="10"/>
    </row>
    <row r="158" spans="1:17" x14ac:dyDescent="0.3">
      <c r="A158" s="1">
        <f t="shared" si="7"/>
        <v>157</v>
      </c>
      <c r="B158" s="2" t="s">
        <v>179</v>
      </c>
      <c r="C158" s="1" t="s">
        <v>11</v>
      </c>
      <c r="D158" s="2" t="s">
        <v>17</v>
      </c>
      <c r="E158" s="3">
        <v>42306</v>
      </c>
      <c r="F158" s="3">
        <f t="shared" si="8"/>
        <v>45382</v>
      </c>
      <c r="G158" s="4">
        <v>937</v>
      </c>
      <c r="H158" s="1">
        <f t="shared" si="9"/>
        <v>180</v>
      </c>
      <c r="I158" s="4">
        <v>451.62883379074594</v>
      </c>
      <c r="L158" s="8"/>
      <c r="M158" s="9"/>
      <c r="N158" s="9"/>
      <c r="O158" s="9"/>
      <c r="P158" s="9"/>
      <c r="Q158" s="10"/>
    </row>
    <row r="159" spans="1:17" x14ac:dyDescent="0.3">
      <c r="A159" s="1">
        <f t="shared" si="7"/>
        <v>158</v>
      </c>
      <c r="B159" s="2" t="s">
        <v>180</v>
      </c>
      <c r="C159" s="1" t="s">
        <v>11</v>
      </c>
      <c r="D159" s="2" t="s">
        <v>42</v>
      </c>
      <c r="E159" s="3">
        <v>42311</v>
      </c>
      <c r="F159" s="3">
        <f t="shared" si="8"/>
        <v>45382</v>
      </c>
      <c r="G159" s="4">
        <v>500</v>
      </c>
      <c r="H159" s="1">
        <f t="shared" si="9"/>
        <v>180</v>
      </c>
      <c r="I159" s="4">
        <v>238.26896163903791</v>
      </c>
      <c r="L159" s="8"/>
      <c r="M159" s="9"/>
      <c r="N159" s="9"/>
      <c r="O159" s="9"/>
      <c r="P159" s="9"/>
      <c r="Q159" s="10"/>
    </row>
    <row r="160" spans="1:17" x14ac:dyDescent="0.3">
      <c r="A160" s="1">
        <f t="shared" si="7"/>
        <v>159</v>
      </c>
      <c r="B160" s="2" t="s">
        <v>181</v>
      </c>
      <c r="C160" s="1" t="s">
        <v>11</v>
      </c>
      <c r="D160" s="2" t="s">
        <v>37</v>
      </c>
      <c r="E160" s="3">
        <v>42317</v>
      </c>
      <c r="F160" s="3">
        <f t="shared" si="8"/>
        <v>45382</v>
      </c>
      <c r="G160" s="4">
        <v>29400</v>
      </c>
      <c r="H160" s="1">
        <f t="shared" si="9"/>
        <v>180</v>
      </c>
      <c r="I160" s="4">
        <v>14010.214944375432</v>
      </c>
      <c r="L160" s="8"/>
      <c r="M160" s="9"/>
      <c r="N160" s="9"/>
      <c r="O160" s="9"/>
      <c r="P160" s="9"/>
      <c r="Q160" s="10"/>
    </row>
    <row r="161" spans="1:17" x14ac:dyDescent="0.3">
      <c r="A161" s="1">
        <f t="shared" si="7"/>
        <v>160</v>
      </c>
      <c r="B161" s="2" t="s">
        <v>182</v>
      </c>
      <c r="C161" s="1" t="s">
        <v>11</v>
      </c>
      <c r="D161" s="2" t="s">
        <v>19</v>
      </c>
      <c r="E161" s="3">
        <v>42317</v>
      </c>
      <c r="F161" s="3">
        <f t="shared" si="8"/>
        <v>45382</v>
      </c>
      <c r="G161" s="4">
        <v>2170</v>
      </c>
      <c r="H161" s="1">
        <f>10*12</f>
        <v>120</v>
      </c>
      <c r="I161" s="4">
        <v>1046.646008984646</v>
      </c>
      <c r="L161" s="8"/>
      <c r="M161" s="9"/>
      <c r="N161" s="9"/>
      <c r="O161" s="9"/>
      <c r="P161" s="9"/>
      <c r="Q161" s="10"/>
    </row>
    <row r="162" spans="1:17" x14ac:dyDescent="0.3">
      <c r="A162" s="1">
        <f t="shared" si="7"/>
        <v>161</v>
      </c>
      <c r="B162" s="2" t="s">
        <v>183</v>
      </c>
      <c r="C162" s="1" t="s">
        <v>11</v>
      </c>
      <c r="D162" s="2" t="s">
        <v>19</v>
      </c>
      <c r="E162" s="3">
        <v>42325</v>
      </c>
      <c r="F162" s="3">
        <f t="shared" si="8"/>
        <v>45382</v>
      </c>
      <c r="G162" s="4">
        <v>80558</v>
      </c>
      <c r="H162" s="1">
        <f>10*12</f>
        <v>120</v>
      </c>
      <c r="I162" s="4">
        <v>38855.165526168261</v>
      </c>
      <c r="L162" s="8"/>
      <c r="M162" s="9"/>
      <c r="N162" s="9"/>
      <c r="O162" s="9"/>
      <c r="P162" s="9"/>
      <c r="Q162" s="10"/>
    </row>
    <row r="163" spans="1:17" x14ac:dyDescent="0.3">
      <c r="A163" s="1">
        <f t="shared" si="7"/>
        <v>162</v>
      </c>
      <c r="B163" s="2" t="s">
        <v>184</v>
      </c>
      <c r="C163" s="1" t="s">
        <v>11</v>
      </c>
      <c r="D163" s="2" t="s">
        <v>17</v>
      </c>
      <c r="E163" s="3">
        <v>42328</v>
      </c>
      <c r="F163" s="3">
        <f t="shared" si="8"/>
        <v>45382</v>
      </c>
      <c r="G163" s="4">
        <v>108800</v>
      </c>
      <c r="H163" s="1">
        <f>15*12</f>
        <v>180</v>
      </c>
      <c r="I163" s="4">
        <v>51847.326052654651</v>
      </c>
      <c r="L163" s="8"/>
      <c r="M163" s="9"/>
      <c r="N163" s="9"/>
      <c r="O163" s="9"/>
      <c r="P163" s="9"/>
      <c r="Q163" s="10"/>
    </row>
    <row r="164" spans="1:17" x14ac:dyDescent="0.3">
      <c r="A164" s="1">
        <f t="shared" si="7"/>
        <v>163</v>
      </c>
      <c r="B164" s="2" t="s">
        <v>185</v>
      </c>
      <c r="C164" s="1" t="s">
        <v>11</v>
      </c>
      <c r="D164" s="2" t="s">
        <v>12</v>
      </c>
      <c r="E164" s="3">
        <v>42328</v>
      </c>
      <c r="F164" s="3">
        <f t="shared" si="8"/>
        <v>45382</v>
      </c>
      <c r="G164" s="4">
        <v>15000</v>
      </c>
      <c r="H164" s="1">
        <f>15*12</f>
        <v>180</v>
      </c>
      <c r="I164" s="4">
        <v>7148.0688491711371</v>
      </c>
      <c r="L164" s="8"/>
      <c r="M164" s="9"/>
      <c r="N164" s="9"/>
      <c r="O164" s="9"/>
      <c r="P164" s="9"/>
      <c r="Q164" s="10"/>
    </row>
    <row r="165" spans="1:17" x14ac:dyDescent="0.3">
      <c r="A165" s="1">
        <f t="shared" si="7"/>
        <v>164</v>
      </c>
      <c r="B165" s="2" t="s">
        <v>186</v>
      </c>
      <c r="C165" s="1" t="s">
        <v>11</v>
      </c>
      <c r="D165" s="2" t="s">
        <v>12</v>
      </c>
      <c r="E165" s="3">
        <v>42329</v>
      </c>
      <c r="F165" s="3">
        <f t="shared" si="8"/>
        <v>45382</v>
      </c>
      <c r="G165" s="4">
        <v>29713</v>
      </c>
      <c r="H165" s="1">
        <f>15*12</f>
        <v>180</v>
      </c>
      <c r="I165" s="4">
        <v>14159.371314361468</v>
      </c>
      <c r="L165" s="8"/>
      <c r="M165" s="9"/>
      <c r="N165" s="9"/>
      <c r="O165" s="9"/>
      <c r="P165" s="9"/>
      <c r="Q165" s="10"/>
    </row>
    <row r="166" spans="1:17" x14ac:dyDescent="0.3">
      <c r="A166" s="1">
        <f t="shared" si="7"/>
        <v>165</v>
      </c>
      <c r="B166" s="2" t="s">
        <v>187</v>
      </c>
      <c r="C166" s="1" t="s">
        <v>11</v>
      </c>
      <c r="D166" s="2" t="s">
        <v>19</v>
      </c>
      <c r="E166" s="3">
        <v>42331</v>
      </c>
      <c r="F166" s="3">
        <f t="shared" si="8"/>
        <v>45382</v>
      </c>
      <c r="G166" s="4">
        <v>26039</v>
      </c>
      <c r="H166" s="1">
        <f>10*12</f>
        <v>120</v>
      </c>
      <c r="I166" s="4">
        <v>12559.26978246599</v>
      </c>
      <c r="L166" s="8"/>
      <c r="M166" s="9"/>
      <c r="N166" s="9"/>
      <c r="O166" s="9"/>
      <c r="P166" s="9"/>
      <c r="Q166" s="10"/>
    </row>
    <row r="167" spans="1:17" x14ac:dyDescent="0.3">
      <c r="A167" s="1">
        <f t="shared" si="7"/>
        <v>166</v>
      </c>
      <c r="B167" s="2" t="s">
        <v>188</v>
      </c>
      <c r="C167" s="1" t="s">
        <v>11</v>
      </c>
      <c r="D167" s="2" t="s">
        <v>17</v>
      </c>
      <c r="E167" s="3">
        <v>42334</v>
      </c>
      <c r="F167" s="3">
        <f t="shared" si="8"/>
        <v>45382</v>
      </c>
      <c r="G167" s="4">
        <v>239</v>
      </c>
      <c r="H167" s="1">
        <f>15*12</f>
        <v>180</v>
      </c>
      <c r="I167" s="4">
        <v>113.89256366346012</v>
      </c>
      <c r="L167" s="8"/>
      <c r="M167" s="9"/>
      <c r="N167" s="9"/>
      <c r="O167" s="9"/>
      <c r="P167" s="9"/>
      <c r="Q167" s="10"/>
    </row>
    <row r="168" spans="1:17" x14ac:dyDescent="0.3">
      <c r="A168" s="1">
        <f t="shared" si="7"/>
        <v>167</v>
      </c>
      <c r="B168" s="2" t="s">
        <v>189</v>
      </c>
      <c r="C168" s="1" t="s">
        <v>11</v>
      </c>
      <c r="D168" s="2" t="s">
        <v>17</v>
      </c>
      <c r="E168" s="3">
        <v>42334</v>
      </c>
      <c r="F168" s="3">
        <f t="shared" si="8"/>
        <v>45382</v>
      </c>
      <c r="G168" s="4">
        <v>5337</v>
      </c>
      <c r="H168" s="1">
        <f>15*12</f>
        <v>180</v>
      </c>
      <c r="I168" s="4">
        <v>2543.2828965350909</v>
      </c>
      <c r="L168" s="8"/>
      <c r="M168" s="9"/>
      <c r="N168" s="9"/>
      <c r="O168" s="9"/>
      <c r="P168" s="9"/>
      <c r="Q168" s="10"/>
    </row>
    <row r="169" spans="1:17" x14ac:dyDescent="0.3">
      <c r="A169" s="1">
        <f t="shared" si="7"/>
        <v>168</v>
      </c>
      <c r="B169" s="2" t="s">
        <v>190</v>
      </c>
      <c r="C169" s="1" t="s">
        <v>11</v>
      </c>
      <c r="D169" s="2" t="s">
        <v>17</v>
      </c>
      <c r="E169" s="3">
        <v>42335</v>
      </c>
      <c r="F169" s="3">
        <f t="shared" si="8"/>
        <v>45382</v>
      </c>
      <c r="G169" s="4">
        <v>10789</v>
      </c>
      <c r="H169" s="1">
        <f>15*12</f>
        <v>180</v>
      </c>
      <c r="I169" s="4">
        <v>5141.3676542471603</v>
      </c>
      <c r="L169" s="8"/>
      <c r="M169" s="9"/>
      <c r="N169" s="9"/>
      <c r="O169" s="9"/>
      <c r="P169" s="9"/>
      <c r="Q169" s="10"/>
    </row>
    <row r="170" spans="1:17" x14ac:dyDescent="0.3">
      <c r="A170" s="1">
        <f t="shared" si="7"/>
        <v>169</v>
      </c>
      <c r="B170" s="2" t="s">
        <v>191</v>
      </c>
      <c r="C170" s="1" t="s">
        <v>11</v>
      </c>
      <c r="D170" s="2" t="s">
        <v>17</v>
      </c>
      <c r="E170" s="3">
        <v>42339</v>
      </c>
      <c r="F170" s="3">
        <f t="shared" si="8"/>
        <v>45382</v>
      </c>
      <c r="G170" s="4">
        <v>5137</v>
      </c>
      <c r="H170" s="1">
        <f>15*12</f>
        <v>180</v>
      </c>
      <c r="I170" s="4">
        <v>2419.5784972053284</v>
      </c>
      <c r="L170" s="8"/>
      <c r="M170" s="9"/>
      <c r="N170" s="9"/>
      <c r="O170" s="9"/>
      <c r="P170" s="9"/>
      <c r="Q170" s="10"/>
    </row>
    <row r="171" spans="1:17" x14ac:dyDescent="0.3">
      <c r="A171" s="1">
        <f t="shared" si="7"/>
        <v>170</v>
      </c>
      <c r="B171" s="2" t="s">
        <v>192</v>
      </c>
      <c r="C171" s="1" t="s">
        <v>11</v>
      </c>
      <c r="D171" s="2" t="s">
        <v>19</v>
      </c>
      <c r="E171" s="3">
        <v>42340</v>
      </c>
      <c r="F171" s="3">
        <f t="shared" si="8"/>
        <v>45382</v>
      </c>
      <c r="G171" s="4">
        <v>2057</v>
      </c>
      <c r="H171" s="1">
        <f>10*12</f>
        <v>120</v>
      </c>
      <c r="I171" s="4">
        <v>977.84408599416122</v>
      </c>
      <c r="L171" s="8"/>
      <c r="M171" s="9"/>
      <c r="N171" s="9"/>
      <c r="O171" s="9"/>
      <c r="P171" s="9"/>
      <c r="Q171" s="10"/>
    </row>
    <row r="172" spans="1:17" x14ac:dyDescent="0.3">
      <c r="A172" s="1">
        <f t="shared" si="7"/>
        <v>171</v>
      </c>
      <c r="B172" s="2" t="s">
        <v>193</v>
      </c>
      <c r="C172" s="1" t="s">
        <v>11</v>
      </c>
      <c r="D172" s="2" t="s">
        <v>19</v>
      </c>
      <c r="E172" s="3">
        <v>42341</v>
      </c>
      <c r="F172" s="3">
        <f t="shared" si="8"/>
        <v>45382</v>
      </c>
      <c r="G172" s="4">
        <v>19800</v>
      </c>
      <c r="H172" s="1">
        <f>10*12</f>
        <v>120</v>
      </c>
      <c r="I172" s="4">
        <v>9412.4029667887189</v>
      </c>
      <c r="L172" s="8"/>
      <c r="M172" s="9"/>
      <c r="N172" s="9"/>
      <c r="O172" s="9"/>
      <c r="P172" s="9"/>
      <c r="Q172" s="10"/>
    </row>
    <row r="173" spans="1:17" x14ac:dyDescent="0.3">
      <c r="A173" s="1">
        <f t="shared" si="7"/>
        <v>172</v>
      </c>
      <c r="B173" s="2" t="s">
        <v>194</v>
      </c>
      <c r="C173" s="1" t="s">
        <v>11</v>
      </c>
      <c r="D173" s="2" t="s">
        <v>19</v>
      </c>
      <c r="E173" s="3">
        <v>42345</v>
      </c>
      <c r="F173" s="3">
        <f t="shared" si="8"/>
        <v>45382</v>
      </c>
      <c r="G173" s="4">
        <v>6928</v>
      </c>
      <c r="H173" s="1">
        <f>10*12</f>
        <v>120</v>
      </c>
      <c r="I173" s="4">
        <v>3293.3902906016283</v>
      </c>
      <c r="L173" s="8"/>
      <c r="M173" s="9"/>
      <c r="N173" s="9"/>
      <c r="O173" s="9"/>
      <c r="P173" s="9"/>
      <c r="Q173" s="10"/>
    </row>
    <row r="174" spans="1:17" x14ac:dyDescent="0.3">
      <c r="A174" s="1">
        <f t="shared" si="7"/>
        <v>173</v>
      </c>
      <c r="B174" s="2" t="s">
        <v>195</v>
      </c>
      <c r="C174" s="1" t="s">
        <v>11</v>
      </c>
      <c r="D174" s="2" t="s">
        <v>17</v>
      </c>
      <c r="E174" s="3">
        <v>42345</v>
      </c>
      <c r="F174" s="3">
        <f t="shared" si="8"/>
        <v>45382</v>
      </c>
      <c r="G174" s="4">
        <v>37148</v>
      </c>
      <c r="H174" s="1">
        <f>15*12</f>
        <v>180</v>
      </c>
      <c r="I174" s="4">
        <v>17497.080399879997</v>
      </c>
      <c r="L174" s="8"/>
      <c r="M174" s="9"/>
      <c r="N174" s="9"/>
      <c r="O174" s="9"/>
      <c r="P174" s="9"/>
      <c r="Q174" s="10"/>
    </row>
    <row r="175" spans="1:17" x14ac:dyDescent="0.3">
      <c r="A175" s="1">
        <f t="shared" si="7"/>
        <v>174</v>
      </c>
      <c r="B175" s="2" t="s">
        <v>196</v>
      </c>
      <c r="C175" s="1" t="s">
        <v>11</v>
      </c>
      <c r="D175" s="2" t="s">
        <v>12</v>
      </c>
      <c r="E175" s="3">
        <v>42354</v>
      </c>
      <c r="F175" s="3">
        <f t="shared" si="8"/>
        <v>45382</v>
      </c>
      <c r="G175" s="4">
        <v>147825</v>
      </c>
      <c r="H175" s="1">
        <f>15*12</f>
        <v>180</v>
      </c>
      <c r="I175" s="4">
        <v>69627.056910527099</v>
      </c>
      <c r="L175" s="8"/>
      <c r="M175" s="9"/>
      <c r="N175" s="9"/>
      <c r="O175" s="9"/>
      <c r="P175" s="9"/>
      <c r="Q175" s="10"/>
    </row>
    <row r="176" spans="1:17" x14ac:dyDescent="0.3">
      <c r="A176" s="1">
        <f t="shared" si="7"/>
        <v>175</v>
      </c>
      <c r="B176" s="2" t="s">
        <v>197</v>
      </c>
      <c r="C176" s="1" t="s">
        <v>11</v>
      </c>
      <c r="D176" s="2" t="s">
        <v>19</v>
      </c>
      <c r="E176" s="3">
        <v>42361</v>
      </c>
      <c r="F176" s="3">
        <f t="shared" si="8"/>
        <v>45382</v>
      </c>
      <c r="G176" s="4">
        <v>380</v>
      </c>
      <c r="H176" s="1">
        <f>10*12</f>
        <v>120</v>
      </c>
      <c r="I176" s="4">
        <v>180.64207714038955</v>
      </c>
      <c r="L176" s="8"/>
      <c r="M176" s="9"/>
      <c r="N176" s="9"/>
      <c r="O176" s="9"/>
      <c r="P176" s="9"/>
      <c r="Q176" s="10"/>
    </row>
    <row r="177" spans="1:17" x14ac:dyDescent="0.3">
      <c r="A177" s="1">
        <f t="shared" si="7"/>
        <v>176</v>
      </c>
      <c r="B177" s="2" t="s">
        <v>198</v>
      </c>
      <c r="C177" s="1" t="s">
        <v>11</v>
      </c>
      <c r="D177" s="2" t="s">
        <v>19</v>
      </c>
      <c r="E177" s="3">
        <v>42362</v>
      </c>
      <c r="F177" s="3">
        <f t="shared" si="8"/>
        <v>45382</v>
      </c>
      <c r="G177" s="4">
        <v>180</v>
      </c>
      <c r="H177" s="1">
        <f>10*12</f>
        <v>120</v>
      </c>
      <c r="I177" s="4">
        <v>85.567299698079268</v>
      </c>
      <c r="L177" s="8"/>
      <c r="M177" s="9"/>
      <c r="N177" s="9"/>
      <c r="O177" s="9"/>
      <c r="P177" s="9"/>
      <c r="Q177" s="10"/>
    </row>
    <row r="178" spans="1:17" x14ac:dyDescent="0.3">
      <c r="A178" s="1">
        <f t="shared" si="7"/>
        <v>177</v>
      </c>
      <c r="B178" s="2" t="s">
        <v>199</v>
      </c>
      <c r="C178" s="1" t="s">
        <v>11</v>
      </c>
      <c r="D178" s="2" t="s">
        <v>17</v>
      </c>
      <c r="E178" s="3">
        <v>42362</v>
      </c>
      <c r="F178" s="3">
        <f t="shared" si="8"/>
        <v>45382</v>
      </c>
      <c r="G178" s="4">
        <v>38624</v>
      </c>
      <c r="H178" s="1">
        <f>15*12</f>
        <v>180</v>
      </c>
      <c r="I178" s="4">
        <v>18192.291196429553</v>
      </c>
      <c r="L178" s="8"/>
      <c r="M178" s="9"/>
      <c r="N178" s="9"/>
      <c r="O178" s="9"/>
      <c r="P178" s="9"/>
      <c r="Q178" s="10"/>
    </row>
    <row r="179" spans="1:17" x14ac:dyDescent="0.3">
      <c r="A179" s="1">
        <f t="shared" si="7"/>
        <v>178</v>
      </c>
      <c r="B179" s="2" t="s">
        <v>200</v>
      </c>
      <c r="C179" s="1" t="s">
        <v>11</v>
      </c>
      <c r="D179" s="2" t="s">
        <v>17</v>
      </c>
      <c r="E179" s="3">
        <v>42362</v>
      </c>
      <c r="F179" s="3">
        <f t="shared" si="8"/>
        <v>45382</v>
      </c>
      <c r="G179" s="4">
        <v>65836</v>
      </c>
      <c r="H179" s="1">
        <f>15*12</f>
        <v>180</v>
      </c>
      <c r="I179" s="4">
        <v>31009.415990268637</v>
      </c>
      <c r="L179" s="8"/>
      <c r="M179" s="9"/>
      <c r="N179" s="9"/>
      <c r="O179" s="9"/>
      <c r="P179" s="9"/>
      <c r="Q179" s="10"/>
    </row>
    <row r="180" spans="1:17" x14ac:dyDescent="0.3">
      <c r="A180" s="1">
        <f t="shared" si="7"/>
        <v>179</v>
      </c>
      <c r="B180" s="2" t="s">
        <v>201</v>
      </c>
      <c r="C180" s="1" t="s">
        <v>11</v>
      </c>
      <c r="D180" s="2" t="s">
        <v>17</v>
      </c>
      <c r="E180" s="3">
        <v>42362</v>
      </c>
      <c r="F180" s="3">
        <f t="shared" si="8"/>
        <v>45382</v>
      </c>
      <c r="G180" s="4">
        <v>50220</v>
      </c>
      <c r="H180" s="1">
        <f>15*12</f>
        <v>180</v>
      </c>
      <c r="I180" s="4">
        <v>23654.123443576325</v>
      </c>
      <c r="L180" s="8"/>
      <c r="M180" s="9"/>
      <c r="N180" s="9"/>
      <c r="O180" s="9"/>
      <c r="P180" s="9"/>
      <c r="Q180" s="10"/>
    </row>
    <row r="181" spans="1:17" x14ac:dyDescent="0.3">
      <c r="A181" s="1">
        <f t="shared" si="7"/>
        <v>180</v>
      </c>
      <c r="B181" s="2" t="s">
        <v>202</v>
      </c>
      <c r="C181" s="1" t="s">
        <v>11</v>
      </c>
      <c r="D181" s="2" t="s">
        <v>44</v>
      </c>
      <c r="E181" s="3">
        <v>42363</v>
      </c>
      <c r="F181" s="3">
        <f t="shared" si="8"/>
        <v>45382</v>
      </c>
      <c r="G181" s="4">
        <v>5260</v>
      </c>
      <c r="H181" s="1">
        <f>15*12</f>
        <v>180</v>
      </c>
      <c r="I181" s="4">
        <v>2477.5127302511246</v>
      </c>
      <c r="L181" s="8"/>
      <c r="M181" s="9"/>
      <c r="N181" s="9"/>
      <c r="O181" s="9"/>
      <c r="P181" s="9"/>
      <c r="Q181" s="10"/>
    </row>
    <row r="182" spans="1:17" x14ac:dyDescent="0.3">
      <c r="A182" s="1">
        <f t="shared" si="7"/>
        <v>181</v>
      </c>
      <c r="B182" s="2" t="s">
        <v>203</v>
      </c>
      <c r="C182" s="1" t="s">
        <v>11</v>
      </c>
      <c r="D182" s="2" t="s">
        <v>19</v>
      </c>
      <c r="E182" s="3">
        <v>42363</v>
      </c>
      <c r="F182" s="3">
        <f t="shared" si="8"/>
        <v>45382</v>
      </c>
      <c r="G182" s="4">
        <v>6200</v>
      </c>
      <c r="H182" s="1">
        <f>10*12</f>
        <v>120</v>
      </c>
      <c r="I182" s="4">
        <v>2947.3181007116191</v>
      </c>
      <c r="L182" s="8"/>
      <c r="M182" s="9"/>
      <c r="N182" s="9"/>
      <c r="O182" s="9"/>
      <c r="P182" s="9"/>
      <c r="Q182" s="10"/>
    </row>
    <row r="183" spans="1:17" x14ac:dyDescent="0.3">
      <c r="A183" s="1">
        <f t="shared" si="7"/>
        <v>182</v>
      </c>
      <c r="B183" s="2" t="s">
        <v>204</v>
      </c>
      <c r="C183" s="1" t="s">
        <v>11</v>
      </c>
      <c r="D183" s="2" t="s">
        <v>17</v>
      </c>
      <c r="E183" s="3">
        <v>42366</v>
      </c>
      <c r="F183" s="3">
        <f t="shared" si="8"/>
        <v>45382</v>
      </c>
      <c r="G183" s="4">
        <v>32751</v>
      </c>
      <c r="H183" s="1">
        <f>15*12</f>
        <v>180</v>
      </c>
      <c r="I183" s="4">
        <v>15426.049320998971</v>
      </c>
      <c r="L183" s="8"/>
      <c r="M183" s="9"/>
      <c r="N183" s="9"/>
      <c r="O183" s="9"/>
      <c r="P183" s="9"/>
      <c r="Q183" s="10"/>
    </row>
    <row r="184" spans="1:17" x14ac:dyDescent="0.3">
      <c r="A184" s="1">
        <f t="shared" si="7"/>
        <v>183</v>
      </c>
      <c r="B184" s="2" t="s">
        <v>205</v>
      </c>
      <c r="C184" s="1" t="s">
        <v>11</v>
      </c>
      <c r="D184" s="2" t="s">
        <v>17</v>
      </c>
      <c r="E184" s="3">
        <v>42369</v>
      </c>
      <c r="F184" s="3">
        <f t="shared" si="8"/>
        <v>45382</v>
      </c>
      <c r="G184" s="4">
        <v>7392</v>
      </c>
      <c r="H184" s="1">
        <f>15*12</f>
        <v>180</v>
      </c>
      <c r="I184" s="4">
        <v>3481.7061030449263</v>
      </c>
      <c r="L184" s="8"/>
      <c r="M184" s="9"/>
      <c r="N184" s="9"/>
      <c r="O184" s="9"/>
      <c r="P184" s="9"/>
      <c r="Q184" s="10"/>
    </row>
    <row r="185" spans="1:17" x14ac:dyDescent="0.3">
      <c r="A185" s="1">
        <f t="shared" si="7"/>
        <v>184</v>
      </c>
      <c r="B185" s="2" t="s">
        <v>206</v>
      </c>
      <c r="C185" s="1" t="s">
        <v>11</v>
      </c>
      <c r="D185" s="2" t="s">
        <v>19</v>
      </c>
      <c r="E185" s="3">
        <v>42388</v>
      </c>
      <c r="F185" s="3">
        <f t="shared" si="8"/>
        <v>45382</v>
      </c>
      <c r="G185" s="4">
        <v>19150</v>
      </c>
      <c r="H185" s="1">
        <f>10*12</f>
        <v>120</v>
      </c>
      <c r="I185" s="4">
        <v>8969.9763682414541</v>
      </c>
      <c r="L185" s="8"/>
      <c r="M185" s="9"/>
      <c r="N185" s="9"/>
      <c r="O185" s="9"/>
      <c r="P185" s="9"/>
      <c r="Q185" s="10"/>
    </row>
    <row r="186" spans="1:17" x14ac:dyDescent="0.3">
      <c r="A186" s="1">
        <f t="shared" si="7"/>
        <v>185</v>
      </c>
      <c r="B186" s="2" t="s">
        <v>207</v>
      </c>
      <c r="C186" s="1" t="s">
        <v>11</v>
      </c>
      <c r="D186" s="2" t="s">
        <v>12</v>
      </c>
      <c r="E186" s="3">
        <v>42388</v>
      </c>
      <c r="F186" s="3">
        <f t="shared" si="8"/>
        <v>45382</v>
      </c>
      <c r="G186" s="4">
        <v>1000</v>
      </c>
      <c r="H186" s="1">
        <f>15*12</f>
        <v>180</v>
      </c>
      <c r="I186" s="4">
        <v>465.48148782443144</v>
      </c>
      <c r="L186" s="8"/>
      <c r="M186" s="9"/>
      <c r="N186" s="9"/>
      <c r="O186" s="9"/>
      <c r="P186" s="9"/>
      <c r="Q186" s="10"/>
    </row>
    <row r="187" spans="1:17" x14ac:dyDescent="0.3">
      <c r="A187" s="1">
        <f t="shared" si="7"/>
        <v>186</v>
      </c>
      <c r="B187" s="2" t="s">
        <v>208</v>
      </c>
      <c r="C187" s="1" t="s">
        <v>11</v>
      </c>
      <c r="D187" s="2" t="s">
        <v>114</v>
      </c>
      <c r="E187" s="3">
        <v>42399</v>
      </c>
      <c r="F187" s="3">
        <f t="shared" si="8"/>
        <v>45382</v>
      </c>
      <c r="G187" s="4">
        <v>13961</v>
      </c>
      <c r="H187" s="1">
        <f>15*12</f>
        <v>180</v>
      </c>
      <c r="I187" s="4">
        <v>6498.5870515168872</v>
      </c>
      <c r="L187" s="8"/>
      <c r="M187" s="9"/>
      <c r="N187" s="9"/>
      <c r="O187" s="9"/>
      <c r="P187" s="9"/>
      <c r="Q187" s="10"/>
    </row>
    <row r="188" spans="1:17" x14ac:dyDescent="0.3">
      <c r="A188" s="1">
        <f t="shared" si="7"/>
        <v>187</v>
      </c>
      <c r="B188" s="2" t="s">
        <v>209</v>
      </c>
      <c r="C188" s="1" t="s">
        <v>11</v>
      </c>
      <c r="D188" s="2" t="s">
        <v>19</v>
      </c>
      <c r="E188" s="3">
        <v>42399</v>
      </c>
      <c r="F188" s="3">
        <f t="shared" si="8"/>
        <v>45382</v>
      </c>
      <c r="G188" s="4">
        <v>686</v>
      </c>
      <c r="H188" s="1">
        <f>10*12</f>
        <v>120</v>
      </c>
      <c r="I188" s="4">
        <v>321.32656859601241</v>
      </c>
      <c r="L188" s="8"/>
      <c r="M188" s="9"/>
      <c r="N188" s="9"/>
      <c r="O188" s="9"/>
      <c r="P188" s="9"/>
      <c r="Q188" s="10"/>
    </row>
    <row r="189" spans="1:17" x14ac:dyDescent="0.3">
      <c r="A189" s="1">
        <f t="shared" si="7"/>
        <v>188</v>
      </c>
      <c r="B189" s="2" t="s">
        <v>210</v>
      </c>
      <c r="C189" s="1" t="s">
        <v>11</v>
      </c>
      <c r="D189" s="2" t="s">
        <v>44</v>
      </c>
      <c r="E189" s="3">
        <v>42400</v>
      </c>
      <c r="F189" s="3">
        <f t="shared" si="8"/>
        <v>45382</v>
      </c>
      <c r="G189" s="4">
        <v>570</v>
      </c>
      <c r="H189" s="1">
        <f>15*12</f>
        <v>180</v>
      </c>
      <c r="I189" s="4">
        <v>265.32444805992588</v>
      </c>
      <c r="L189" s="8"/>
      <c r="M189" s="9"/>
      <c r="N189" s="9"/>
      <c r="O189" s="9"/>
      <c r="P189" s="9"/>
      <c r="Q189" s="10"/>
    </row>
    <row r="190" spans="1:17" x14ac:dyDescent="0.3">
      <c r="A190" s="1">
        <f t="shared" si="7"/>
        <v>189</v>
      </c>
      <c r="B190" s="2" t="s">
        <v>211</v>
      </c>
      <c r="C190" s="1" t="s">
        <v>11</v>
      </c>
      <c r="D190" s="2" t="s">
        <v>16</v>
      </c>
      <c r="E190" s="3">
        <v>42401</v>
      </c>
      <c r="F190" s="3">
        <f t="shared" si="8"/>
        <v>45382</v>
      </c>
      <c r="G190" s="4">
        <v>1200</v>
      </c>
      <c r="H190" s="1">
        <f>15*12</f>
        <v>180</v>
      </c>
      <c r="I190" s="4">
        <v>552.1081213348217</v>
      </c>
      <c r="L190" s="8"/>
      <c r="M190" s="9"/>
      <c r="N190" s="9"/>
      <c r="O190" s="9"/>
      <c r="P190" s="9"/>
      <c r="Q190" s="10"/>
    </row>
    <row r="191" spans="1:17" x14ac:dyDescent="0.3">
      <c r="A191" s="1">
        <f t="shared" si="7"/>
        <v>190</v>
      </c>
      <c r="B191" s="2" t="s">
        <v>212</v>
      </c>
      <c r="C191" s="1" t="s">
        <v>11</v>
      </c>
      <c r="D191" s="2" t="s">
        <v>16</v>
      </c>
      <c r="E191" s="3">
        <v>42401</v>
      </c>
      <c r="F191" s="3">
        <f t="shared" si="8"/>
        <v>45382</v>
      </c>
      <c r="G191" s="4">
        <v>1000</v>
      </c>
      <c r="H191" s="1">
        <f>15*12</f>
        <v>180</v>
      </c>
      <c r="I191" s="4">
        <v>460.09010111235148</v>
      </c>
      <c r="L191" s="8"/>
      <c r="M191" s="9"/>
      <c r="N191" s="9"/>
      <c r="O191" s="9"/>
      <c r="P191" s="9"/>
      <c r="Q191" s="10"/>
    </row>
    <row r="192" spans="1:17" x14ac:dyDescent="0.3">
      <c r="A192" s="1">
        <f t="shared" si="7"/>
        <v>191</v>
      </c>
      <c r="B192" s="2" t="s">
        <v>80</v>
      </c>
      <c r="C192" s="1" t="s">
        <v>11</v>
      </c>
      <c r="D192" s="2" t="s">
        <v>16</v>
      </c>
      <c r="E192" s="3">
        <v>42408</v>
      </c>
      <c r="F192" s="3">
        <f t="shared" si="8"/>
        <v>45382</v>
      </c>
      <c r="G192" s="4">
        <v>1200</v>
      </c>
      <c r="H192" s="1">
        <f>15*12</f>
        <v>180</v>
      </c>
      <c r="I192" s="4">
        <v>552.1081213348217</v>
      </c>
      <c r="L192" s="8"/>
      <c r="M192" s="9"/>
      <c r="N192" s="9"/>
      <c r="O192" s="9"/>
      <c r="P192" s="9"/>
      <c r="Q192" s="10"/>
    </row>
    <row r="193" spans="1:17" x14ac:dyDescent="0.3">
      <c r="A193" s="1">
        <f t="shared" si="7"/>
        <v>192</v>
      </c>
      <c r="B193" s="2" t="s">
        <v>213</v>
      </c>
      <c r="C193" s="1" t="s">
        <v>11</v>
      </c>
      <c r="D193" s="2" t="s">
        <v>17</v>
      </c>
      <c r="E193" s="3">
        <v>42411</v>
      </c>
      <c r="F193" s="3">
        <f t="shared" si="8"/>
        <v>45382</v>
      </c>
      <c r="G193" s="4">
        <v>2850</v>
      </c>
      <c r="H193" s="1">
        <f>15*12</f>
        <v>180</v>
      </c>
      <c r="I193" s="4">
        <v>1311.2567881702016</v>
      </c>
      <c r="L193" s="8"/>
      <c r="M193" s="9"/>
      <c r="N193" s="9"/>
      <c r="O193" s="9"/>
      <c r="P193" s="9"/>
      <c r="Q193" s="10"/>
    </row>
    <row r="194" spans="1:17" x14ac:dyDescent="0.3">
      <c r="A194" s="1">
        <f t="shared" si="7"/>
        <v>193</v>
      </c>
      <c r="B194" s="2" t="s">
        <v>214</v>
      </c>
      <c r="C194" s="1" t="s">
        <v>11</v>
      </c>
      <c r="D194" s="2" t="s">
        <v>19</v>
      </c>
      <c r="E194" s="3">
        <v>42413</v>
      </c>
      <c r="F194" s="3">
        <f t="shared" si="8"/>
        <v>45382</v>
      </c>
      <c r="G194" s="4">
        <v>19200</v>
      </c>
      <c r="H194" s="1">
        <f>10*12</f>
        <v>120</v>
      </c>
      <c r="I194" s="4">
        <v>8861.9438496837829</v>
      </c>
      <c r="L194" s="8"/>
      <c r="M194" s="9"/>
      <c r="N194" s="9"/>
      <c r="O194" s="9"/>
      <c r="P194" s="9"/>
      <c r="Q194" s="10"/>
    </row>
    <row r="195" spans="1:17" x14ac:dyDescent="0.3">
      <c r="A195" s="1">
        <f t="shared" ref="A195:A258" si="10">A194+1</f>
        <v>194</v>
      </c>
      <c r="B195" s="2" t="s">
        <v>215</v>
      </c>
      <c r="C195" s="1" t="s">
        <v>11</v>
      </c>
      <c r="D195" s="2" t="s">
        <v>17</v>
      </c>
      <c r="E195" s="3">
        <v>42419</v>
      </c>
      <c r="F195" s="3">
        <f t="shared" si="8"/>
        <v>45382</v>
      </c>
      <c r="G195" s="4">
        <v>16475</v>
      </c>
      <c r="H195" s="1">
        <f>15*12</f>
        <v>180</v>
      </c>
      <c r="I195" s="4">
        <v>7579.9844158259893</v>
      </c>
      <c r="L195" s="8"/>
      <c r="M195" s="9"/>
      <c r="N195" s="9"/>
      <c r="O195" s="9"/>
      <c r="P195" s="9"/>
      <c r="Q195" s="10"/>
    </row>
    <row r="196" spans="1:17" x14ac:dyDescent="0.3">
      <c r="A196" s="1">
        <f t="shared" si="10"/>
        <v>195</v>
      </c>
      <c r="B196" s="2" t="s">
        <v>216</v>
      </c>
      <c r="C196" s="1" t="s">
        <v>11</v>
      </c>
      <c r="D196" s="2" t="s">
        <v>19</v>
      </c>
      <c r="E196" s="3">
        <v>42422</v>
      </c>
      <c r="F196" s="3">
        <f t="shared" ref="F196:F259" si="11">F195</f>
        <v>45382</v>
      </c>
      <c r="G196" s="4">
        <v>17100</v>
      </c>
      <c r="H196" s="1">
        <f>10*12</f>
        <v>120</v>
      </c>
      <c r="I196" s="4">
        <v>7892.6687411246194</v>
      </c>
      <c r="L196" s="8"/>
      <c r="M196" s="9"/>
      <c r="N196" s="9"/>
      <c r="O196" s="9"/>
      <c r="P196" s="9"/>
      <c r="Q196" s="10"/>
    </row>
    <row r="197" spans="1:17" x14ac:dyDescent="0.3">
      <c r="A197" s="1">
        <f t="shared" si="10"/>
        <v>196</v>
      </c>
      <c r="B197" s="2" t="s">
        <v>217</v>
      </c>
      <c r="C197" s="1" t="s">
        <v>11</v>
      </c>
      <c r="D197" s="2" t="s">
        <v>114</v>
      </c>
      <c r="E197" s="3">
        <v>42423</v>
      </c>
      <c r="F197" s="3">
        <f t="shared" si="11"/>
        <v>45382</v>
      </c>
      <c r="G197" s="4">
        <v>3266</v>
      </c>
      <c r="H197" s="1">
        <f>15*12</f>
        <v>180</v>
      </c>
      <c r="I197" s="4">
        <v>1502.6542702329396</v>
      </c>
      <c r="L197" s="8"/>
      <c r="M197" s="9"/>
      <c r="N197" s="9"/>
      <c r="O197" s="9"/>
      <c r="P197" s="9"/>
      <c r="Q197" s="10"/>
    </row>
    <row r="198" spans="1:17" x14ac:dyDescent="0.3">
      <c r="A198" s="1">
        <f t="shared" si="10"/>
        <v>197</v>
      </c>
      <c r="B198" s="2" t="s">
        <v>218</v>
      </c>
      <c r="C198" s="1" t="s">
        <v>11</v>
      </c>
      <c r="D198" s="2" t="s">
        <v>12</v>
      </c>
      <c r="E198" s="3">
        <v>42423</v>
      </c>
      <c r="F198" s="3">
        <f t="shared" si="11"/>
        <v>45382</v>
      </c>
      <c r="G198" s="4">
        <v>3200</v>
      </c>
      <c r="H198" s="1">
        <f>15*12</f>
        <v>180</v>
      </c>
      <c r="I198" s="4">
        <v>1472.2883235595245</v>
      </c>
      <c r="L198" s="8"/>
      <c r="M198" s="9"/>
      <c r="N198" s="9"/>
      <c r="O198" s="9"/>
      <c r="P198" s="9"/>
      <c r="Q198" s="10"/>
    </row>
    <row r="199" spans="1:17" x14ac:dyDescent="0.3">
      <c r="A199" s="1">
        <f t="shared" si="10"/>
        <v>198</v>
      </c>
      <c r="B199" s="2" t="s">
        <v>219</v>
      </c>
      <c r="C199" s="1" t="s">
        <v>11</v>
      </c>
      <c r="D199" s="2" t="s">
        <v>17</v>
      </c>
      <c r="E199" s="3">
        <v>42423</v>
      </c>
      <c r="F199" s="3">
        <f t="shared" si="11"/>
        <v>45382</v>
      </c>
      <c r="G199" s="4">
        <v>6515</v>
      </c>
      <c r="H199" s="1">
        <f>15*12</f>
        <v>180</v>
      </c>
      <c r="I199" s="4">
        <v>2997.4870087469699</v>
      </c>
      <c r="L199" s="8"/>
      <c r="M199" s="9"/>
      <c r="N199" s="9"/>
      <c r="O199" s="9"/>
      <c r="P199" s="9"/>
      <c r="Q199" s="10"/>
    </row>
    <row r="200" spans="1:17" x14ac:dyDescent="0.3">
      <c r="A200" s="1">
        <f t="shared" si="10"/>
        <v>199</v>
      </c>
      <c r="B200" s="2" t="s">
        <v>220</v>
      </c>
      <c r="C200" s="1" t="s">
        <v>11</v>
      </c>
      <c r="D200" s="2" t="s">
        <v>17</v>
      </c>
      <c r="E200" s="3">
        <v>42423</v>
      </c>
      <c r="F200" s="3">
        <f t="shared" si="11"/>
        <v>45382</v>
      </c>
      <c r="G200" s="4">
        <v>772</v>
      </c>
      <c r="H200" s="1">
        <f>15*12</f>
        <v>180</v>
      </c>
      <c r="I200" s="4">
        <v>355.18955805873526</v>
      </c>
      <c r="L200" s="8"/>
      <c r="M200" s="9"/>
      <c r="N200" s="9"/>
      <c r="O200" s="9"/>
      <c r="P200" s="9"/>
      <c r="Q200" s="10"/>
    </row>
    <row r="201" spans="1:17" x14ac:dyDescent="0.3">
      <c r="A201" s="1">
        <f t="shared" si="10"/>
        <v>200</v>
      </c>
      <c r="B201" s="2" t="s">
        <v>221</v>
      </c>
      <c r="C201" s="1" t="s">
        <v>11</v>
      </c>
      <c r="D201" s="2" t="s">
        <v>114</v>
      </c>
      <c r="E201" s="3">
        <v>42432</v>
      </c>
      <c r="F201" s="3">
        <f t="shared" si="11"/>
        <v>45382</v>
      </c>
      <c r="G201" s="4">
        <v>2401</v>
      </c>
      <c r="H201" s="1">
        <f>15*12</f>
        <v>180</v>
      </c>
      <c r="I201" s="4">
        <v>1091.3972473667297</v>
      </c>
      <c r="L201" s="8"/>
      <c r="M201" s="9"/>
      <c r="N201" s="9"/>
      <c r="O201" s="9"/>
      <c r="P201" s="9"/>
      <c r="Q201" s="10"/>
    </row>
    <row r="202" spans="1:17" x14ac:dyDescent="0.3">
      <c r="A202" s="1">
        <f t="shared" si="10"/>
        <v>201</v>
      </c>
      <c r="B202" s="2" t="s">
        <v>222</v>
      </c>
      <c r="C202" s="1" t="s">
        <v>11</v>
      </c>
      <c r="D202" s="2" t="s">
        <v>19</v>
      </c>
      <c r="E202" s="3">
        <v>42432</v>
      </c>
      <c r="F202" s="3">
        <f t="shared" si="11"/>
        <v>45382</v>
      </c>
      <c r="G202" s="4">
        <v>300</v>
      </c>
      <c r="H202" s="1">
        <f>10*12</f>
        <v>120</v>
      </c>
      <c r="I202" s="4">
        <v>136.36783598917907</v>
      </c>
      <c r="L202" s="8"/>
      <c r="M202" s="9"/>
      <c r="N202" s="9"/>
      <c r="O202" s="9"/>
      <c r="P202" s="9"/>
      <c r="Q202" s="10"/>
    </row>
    <row r="203" spans="1:17" x14ac:dyDescent="0.3">
      <c r="A203" s="1">
        <f t="shared" si="10"/>
        <v>202</v>
      </c>
      <c r="B203" s="2" t="s">
        <v>223</v>
      </c>
      <c r="C203" s="1" t="s">
        <v>11</v>
      </c>
      <c r="D203" s="2" t="s">
        <v>224</v>
      </c>
      <c r="E203" s="3">
        <v>42432</v>
      </c>
      <c r="F203" s="3">
        <f t="shared" si="11"/>
        <v>45382</v>
      </c>
      <c r="G203" s="4">
        <v>50</v>
      </c>
      <c r="H203" s="1">
        <f>15*12</f>
        <v>180</v>
      </c>
      <c r="I203" s="4">
        <v>22.727972664863177</v>
      </c>
      <c r="L203" s="8"/>
      <c r="M203" s="9"/>
      <c r="N203" s="9"/>
      <c r="O203" s="9"/>
      <c r="P203" s="9"/>
      <c r="Q203" s="10"/>
    </row>
    <row r="204" spans="1:17" x14ac:dyDescent="0.3">
      <c r="A204" s="1">
        <f t="shared" si="10"/>
        <v>203</v>
      </c>
      <c r="B204" s="2" t="s">
        <v>225</v>
      </c>
      <c r="C204" s="1" t="s">
        <v>11</v>
      </c>
      <c r="D204" s="2" t="s">
        <v>224</v>
      </c>
      <c r="E204" s="3">
        <v>42432</v>
      </c>
      <c r="F204" s="3">
        <f t="shared" si="11"/>
        <v>45382</v>
      </c>
      <c r="G204" s="4">
        <v>1265</v>
      </c>
      <c r="H204" s="1">
        <f>15*12</f>
        <v>180</v>
      </c>
      <c r="I204" s="4">
        <v>575.01770842103838</v>
      </c>
      <c r="L204" s="8"/>
      <c r="M204" s="9"/>
      <c r="N204" s="9"/>
      <c r="O204" s="9"/>
      <c r="P204" s="9"/>
      <c r="Q204" s="10"/>
    </row>
    <row r="205" spans="1:17" x14ac:dyDescent="0.3">
      <c r="A205" s="1">
        <f t="shared" si="10"/>
        <v>204</v>
      </c>
      <c r="B205" s="2" t="s">
        <v>226</v>
      </c>
      <c r="C205" s="1" t="s">
        <v>11</v>
      </c>
      <c r="D205" s="2" t="s">
        <v>224</v>
      </c>
      <c r="E205" s="3">
        <v>42432</v>
      </c>
      <c r="F205" s="3">
        <f t="shared" si="11"/>
        <v>45382</v>
      </c>
      <c r="G205" s="4">
        <v>2020</v>
      </c>
      <c r="H205" s="1">
        <f>15*12</f>
        <v>180</v>
      </c>
      <c r="I205" s="4">
        <v>918.21009566047235</v>
      </c>
      <c r="L205" s="8"/>
      <c r="M205" s="9"/>
      <c r="N205" s="9"/>
      <c r="O205" s="9"/>
      <c r="P205" s="9"/>
      <c r="Q205" s="10"/>
    </row>
    <row r="206" spans="1:17" x14ac:dyDescent="0.3">
      <c r="A206" s="1">
        <f t="shared" si="10"/>
        <v>205</v>
      </c>
      <c r="B206" s="2" t="s">
        <v>227</v>
      </c>
      <c r="C206" s="1" t="s">
        <v>11</v>
      </c>
      <c r="D206" s="2" t="s">
        <v>19</v>
      </c>
      <c r="E206" s="3">
        <v>42434</v>
      </c>
      <c r="F206" s="3">
        <f t="shared" si="11"/>
        <v>45382</v>
      </c>
      <c r="G206" s="4">
        <v>190</v>
      </c>
      <c r="H206" s="1">
        <f>10*12</f>
        <v>120</v>
      </c>
      <c r="I206" s="4">
        <v>86.36629612648008</v>
      </c>
      <c r="L206" s="8"/>
      <c r="M206" s="9"/>
      <c r="N206" s="9"/>
      <c r="O206" s="9"/>
      <c r="P206" s="9"/>
      <c r="Q206" s="10"/>
    </row>
    <row r="207" spans="1:17" x14ac:dyDescent="0.3">
      <c r="A207" s="1">
        <f t="shared" si="10"/>
        <v>206</v>
      </c>
      <c r="B207" s="2" t="s">
        <v>228</v>
      </c>
      <c r="C207" s="1" t="s">
        <v>11</v>
      </c>
      <c r="D207" s="2" t="s">
        <v>19</v>
      </c>
      <c r="E207" s="3">
        <v>42440</v>
      </c>
      <c r="F207" s="3">
        <f t="shared" si="11"/>
        <v>45382</v>
      </c>
      <c r="G207" s="4">
        <v>14936</v>
      </c>
      <c r="H207" s="1">
        <f>10*12</f>
        <v>120</v>
      </c>
      <c r="I207" s="4">
        <v>6789.2999944479279</v>
      </c>
      <c r="L207" s="8"/>
      <c r="M207" s="9"/>
      <c r="N207" s="9"/>
      <c r="O207" s="9"/>
      <c r="P207" s="9"/>
      <c r="Q207" s="10"/>
    </row>
    <row r="208" spans="1:17" x14ac:dyDescent="0.3">
      <c r="A208" s="1">
        <f t="shared" si="10"/>
        <v>207</v>
      </c>
      <c r="B208" s="2" t="s">
        <v>229</v>
      </c>
      <c r="C208" s="1" t="s">
        <v>11</v>
      </c>
      <c r="D208" s="2" t="s">
        <v>19</v>
      </c>
      <c r="E208" s="3">
        <v>42441</v>
      </c>
      <c r="F208" s="3">
        <f t="shared" si="11"/>
        <v>45382</v>
      </c>
      <c r="G208" s="4">
        <v>10933</v>
      </c>
      <c r="H208" s="1">
        <f>10*12</f>
        <v>120</v>
      </c>
      <c r="I208" s="4">
        <v>4969.698502898983</v>
      </c>
      <c r="L208" s="8"/>
      <c r="M208" s="9"/>
      <c r="N208" s="9"/>
      <c r="O208" s="9"/>
      <c r="P208" s="9"/>
      <c r="Q208" s="10"/>
    </row>
    <row r="209" spans="1:17" x14ac:dyDescent="0.3">
      <c r="A209" s="1">
        <f t="shared" si="10"/>
        <v>208</v>
      </c>
      <c r="B209" s="2" t="s">
        <v>230</v>
      </c>
      <c r="C209" s="1" t="s">
        <v>11</v>
      </c>
      <c r="D209" s="2" t="s">
        <v>12</v>
      </c>
      <c r="E209" s="3">
        <v>42441</v>
      </c>
      <c r="F209" s="3">
        <f t="shared" si="11"/>
        <v>45382</v>
      </c>
      <c r="G209" s="4">
        <v>10058</v>
      </c>
      <c r="H209" s="1">
        <f t="shared" ref="H209:H233" si="12">15*12</f>
        <v>180</v>
      </c>
      <c r="I209" s="4">
        <v>4571.9589812638769</v>
      </c>
      <c r="L209" s="8"/>
      <c r="M209" s="9"/>
      <c r="N209" s="9"/>
      <c r="O209" s="9"/>
      <c r="P209" s="9"/>
      <c r="Q209" s="10"/>
    </row>
    <row r="210" spans="1:17" x14ac:dyDescent="0.3">
      <c r="A210" s="1">
        <f t="shared" si="10"/>
        <v>209</v>
      </c>
      <c r="B210" s="2" t="s">
        <v>231</v>
      </c>
      <c r="C210" s="1" t="s">
        <v>11</v>
      </c>
      <c r="D210" s="2" t="s">
        <v>224</v>
      </c>
      <c r="E210" s="3">
        <v>42444</v>
      </c>
      <c r="F210" s="3">
        <f t="shared" si="11"/>
        <v>45382</v>
      </c>
      <c r="G210" s="4">
        <v>750</v>
      </c>
      <c r="H210" s="1">
        <f t="shared" si="12"/>
        <v>180</v>
      </c>
      <c r="I210" s="4">
        <v>340.91958997294768</v>
      </c>
      <c r="L210" s="8"/>
      <c r="M210" s="9"/>
      <c r="N210" s="9"/>
      <c r="O210" s="9"/>
      <c r="P210" s="9"/>
      <c r="Q210" s="10"/>
    </row>
    <row r="211" spans="1:17" x14ac:dyDescent="0.3">
      <c r="A211" s="1">
        <f t="shared" si="10"/>
        <v>210</v>
      </c>
      <c r="B211" s="2" t="s">
        <v>232</v>
      </c>
      <c r="C211" s="1" t="s">
        <v>11</v>
      </c>
      <c r="D211" s="2" t="s">
        <v>17</v>
      </c>
      <c r="E211" s="3">
        <v>42450</v>
      </c>
      <c r="F211" s="3">
        <f t="shared" si="11"/>
        <v>45382</v>
      </c>
      <c r="G211" s="4">
        <v>60157</v>
      </c>
      <c r="H211" s="1">
        <f t="shared" si="12"/>
        <v>180</v>
      </c>
      <c r="I211" s="4">
        <v>27344.933032003482</v>
      </c>
      <c r="L211" s="8"/>
      <c r="M211" s="9"/>
      <c r="N211" s="9"/>
      <c r="O211" s="9"/>
      <c r="P211" s="9"/>
      <c r="Q211" s="10"/>
    </row>
    <row r="212" spans="1:17" x14ac:dyDescent="0.3">
      <c r="A212" s="1">
        <f t="shared" si="10"/>
        <v>211</v>
      </c>
      <c r="B212" s="2" t="s">
        <v>233</v>
      </c>
      <c r="C212" s="1" t="s">
        <v>11</v>
      </c>
      <c r="D212" s="2" t="s">
        <v>44</v>
      </c>
      <c r="E212" s="3">
        <v>42452</v>
      </c>
      <c r="F212" s="3">
        <f t="shared" si="11"/>
        <v>45382</v>
      </c>
      <c r="G212" s="4">
        <v>1858563</v>
      </c>
      <c r="H212" s="1">
        <f t="shared" si="12"/>
        <v>180</v>
      </c>
      <c r="I212" s="4">
        <v>844827.38119852194</v>
      </c>
      <c r="L212" s="8"/>
      <c r="M212" s="9"/>
      <c r="N212" s="9"/>
      <c r="O212" s="9"/>
      <c r="P212" s="9"/>
      <c r="Q212" s="10"/>
    </row>
    <row r="213" spans="1:17" x14ac:dyDescent="0.3">
      <c r="A213" s="1">
        <f t="shared" si="10"/>
        <v>212</v>
      </c>
      <c r="B213" s="2" t="s">
        <v>234</v>
      </c>
      <c r="C213" s="1" t="s">
        <v>11</v>
      </c>
      <c r="D213" s="2" t="s">
        <v>44</v>
      </c>
      <c r="E213" s="3">
        <v>42452</v>
      </c>
      <c r="F213" s="3">
        <f t="shared" si="11"/>
        <v>45382</v>
      </c>
      <c r="G213" s="4">
        <v>1858563</v>
      </c>
      <c r="H213" s="1">
        <f t="shared" si="12"/>
        <v>180</v>
      </c>
      <c r="I213" s="4">
        <v>844827.38119852194</v>
      </c>
      <c r="L213" s="8"/>
      <c r="M213" s="9"/>
      <c r="N213" s="9"/>
      <c r="O213" s="9"/>
      <c r="P213" s="9"/>
      <c r="Q213" s="10"/>
    </row>
    <row r="214" spans="1:17" s="11" customFormat="1" x14ac:dyDescent="0.3">
      <c r="A214" s="1">
        <f t="shared" si="10"/>
        <v>213</v>
      </c>
      <c r="B214" s="11" t="s">
        <v>235</v>
      </c>
      <c r="C214" s="12" t="s">
        <v>11</v>
      </c>
      <c r="D214" s="2" t="s">
        <v>224</v>
      </c>
      <c r="E214" s="13">
        <v>42460</v>
      </c>
      <c r="F214" s="3">
        <f t="shared" si="11"/>
        <v>45382</v>
      </c>
      <c r="G214" s="14">
        <v>720</v>
      </c>
      <c r="H214" s="12">
        <f t="shared" si="12"/>
        <v>180</v>
      </c>
      <c r="I214" s="4">
        <v>327.28280637402969</v>
      </c>
      <c r="J214" s="3"/>
      <c r="K214" s="4"/>
      <c r="L214" s="8"/>
      <c r="M214" s="9"/>
      <c r="N214" s="9"/>
      <c r="O214" s="9"/>
      <c r="P214" s="9"/>
      <c r="Q214" s="10"/>
    </row>
    <row r="215" spans="1:17" x14ac:dyDescent="0.3">
      <c r="A215" s="1">
        <f t="shared" si="10"/>
        <v>214</v>
      </c>
      <c r="B215" s="2" t="s">
        <v>236</v>
      </c>
      <c r="C215" s="1" t="s">
        <v>237</v>
      </c>
      <c r="D215" s="2" t="s">
        <v>17</v>
      </c>
      <c r="E215" s="3">
        <v>42531</v>
      </c>
      <c r="F215" s="3">
        <f t="shared" si="11"/>
        <v>45382</v>
      </c>
      <c r="G215" s="4">
        <v>10301</v>
      </c>
      <c r="H215" s="1">
        <f t="shared" si="12"/>
        <v>180</v>
      </c>
      <c r="I215" s="4">
        <v>4541.2802436265638</v>
      </c>
      <c r="L215" s="8"/>
      <c r="M215" s="9"/>
      <c r="N215" s="9"/>
      <c r="O215" s="9"/>
      <c r="P215" s="9"/>
      <c r="Q215" s="10"/>
    </row>
    <row r="216" spans="1:17" x14ac:dyDescent="0.3">
      <c r="A216" s="1">
        <f t="shared" si="10"/>
        <v>215</v>
      </c>
      <c r="B216" s="2" t="s">
        <v>238</v>
      </c>
      <c r="C216" s="1" t="s">
        <v>237</v>
      </c>
      <c r="D216" s="2" t="s">
        <v>17</v>
      </c>
      <c r="E216" s="3">
        <v>42601</v>
      </c>
      <c r="F216" s="3">
        <f t="shared" si="11"/>
        <v>45382</v>
      </c>
      <c r="G216" s="4">
        <v>16340</v>
      </c>
      <c r="H216" s="1">
        <f t="shared" si="12"/>
        <v>180</v>
      </c>
      <c r="I216" s="4">
        <v>15523</v>
      </c>
      <c r="L216" s="8"/>
      <c r="M216" s="9"/>
      <c r="N216" s="9"/>
      <c r="O216" s="9"/>
      <c r="P216" s="9"/>
      <c r="Q216" s="10"/>
    </row>
    <row r="217" spans="1:17" x14ac:dyDescent="0.3">
      <c r="A217" s="1">
        <f t="shared" si="10"/>
        <v>216</v>
      </c>
      <c r="B217" s="2" t="s">
        <v>239</v>
      </c>
      <c r="C217" s="1" t="s">
        <v>237</v>
      </c>
      <c r="D217" s="2" t="s">
        <v>12</v>
      </c>
      <c r="E217" s="3">
        <v>42549</v>
      </c>
      <c r="F217" s="3">
        <f t="shared" si="11"/>
        <v>45382</v>
      </c>
      <c r="G217" s="4">
        <v>21903</v>
      </c>
      <c r="H217" s="1">
        <f t="shared" si="12"/>
        <v>180</v>
      </c>
      <c r="I217" s="4">
        <v>9610.7833235378839</v>
      </c>
      <c r="L217" s="8"/>
      <c r="M217" s="9"/>
      <c r="N217" s="9"/>
      <c r="O217" s="9"/>
      <c r="P217" s="9"/>
      <c r="Q217" s="10"/>
    </row>
    <row r="218" spans="1:17" x14ac:dyDescent="0.3">
      <c r="A218" s="1">
        <f t="shared" si="10"/>
        <v>217</v>
      </c>
      <c r="B218" s="2" t="s">
        <v>240</v>
      </c>
      <c r="C218" s="1" t="s">
        <v>237</v>
      </c>
      <c r="D218" s="2" t="s">
        <v>12</v>
      </c>
      <c r="E218" s="3">
        <v>42635</v>
      </c>
      <c r="F218" s="3">
        <f t="shared" si="11"/>
        <v>45382</v>
      </c>
      <c r="G218" s="4">
        <v>7782</v>
      </c>
      <c r="H218" s="1">
        <f t="shared" si="12"/>
        <v>180</v>
      </c>
      <c r="I218" s="4">
        <v>3289.647333053701</v>
      </c>
      <c r="L218" s="8"/>
      <c r="M218" s="9"/>
      <c r="N218" s="9"/>
      <c r="O218" s="9"/>
      <c r="P218" s="9"/>
      <c r="Q218" s="10"/>
    </row>
    <row r="219" spans="1:17" x14ac:dyDescent="0.3">
      <c r="A219" s="1">
        <f t="shared" si="10"/>
        <v>218</v>
      </c>
      <c r="B219" s="2" t="s">
        <v>241</v>
      </c>
      <c r="C219" s="1" t="s">
        <v>237</v>
      </c>
      <c r="D219" s="2" t="s">
        <v>37</v>
      </c>
      <c r="E219" s="3">
        <v>42643</v>
      </c>
      <c r="F219" s="3">
        <f t="shared" si="11"/>
        <v>45382</v>
      </c>
      <c r="G219" s="4">
        <v>6800</v>
      </c>
      <c r="H219" s="1">
        <f t="shared" si="12"/>
        <v>180</v>
      </c>
      <c r="I219" s="4">
        <v>2868.2033521068415</v>
      </c>
      <c r="L219" s="8"/>
      <c r="M219" s="9"/>
      <c r="N219" s="9"/>
      <c r="O219" s="9"/>
      <c r="P219" s="9"/>
      <c r="Q219" s="10"/>
    </row>
    <row r="220" spans="1:17" x14ac:dyDescent="0.3">
      <c r="A220" s="1">
        <f t="shared" si="10"/>
        <v>219</v>
      </c>
      <c r="B220" s="2" t="s">
        <v>242</v>
      </c>
      <c r="C220" s="1" t="s">
        <v>237</v>
      </c>
      <c r="D220" s="2" t="s">
        <v>37</v>
      </c>
      <c r="E220" s="3">
        <v>42643</v>
      </c>
      <c r="F220" s="3">
        <f t="shared" si="11"/>
        <v>45382</v>
      </c>
      <c r="G220" s="4">
        <v>9400</v>
      </c>
      <c r="H220" s="1">
        <f t="shared" si="12"/>
        <v>180</v>
      </c>
      <c r="I220" s="4">
        <v>3964.869339677105</v>
      </c>
      <c r="L220" s="8"/>
      <c r="M220" s="9"/>
      <c r="N220" s="9"/>
      <c r="O220" s="9"/>
      <c r="P220" s="9"/>
      <c r="Q220" s="10"/>
    </row>
    <row r="221" spans="1:17" x14ac:dyDescent="0.3">
      <c r="A221" s="1">
        <f t="shared" si="10"/>
        <v>220</v>
      </c>
      <c r="B221" s="2" t="s">
        <v>243</v>
      </c>
      <c r="C221" s="1" t="s">
        <v>237</v>
      </c>
      <c r="D221" s="2" t="s">
        <v>37</v>
      </c>
      <c r="E221" s="3">
        <v>42643</v>
      </c>
      <c r="F221" s="3">
        <f t="shared" si="11"/>
        <v>45382</v>
      </c>
      <c r="G221" s="4">
        <v>6999</v>
      </c>
      <c r="H221" s="1">
        <f t="shared" si="12"/>
        <v>180</v>
      </c>
      <c r="I221" s="4">
        <v>2952.1404796170268</v>
      </c>
      <c r="L221" s="8"/>
      <c r="M221" s="9"/>
      <c r="N221" s="9"/>
      <c r="O221" s="9"/>
      <c r="P221" s="9"/>
      <c r="Q221" s="10"/>
    </row>
    <row r="222" spans="1:17" x14ac:dyDescent="0.3">
      <c r="A222" s="1">
        <f t="shared" si="10"/>
        <v>221</v>
      </c>
      <c r="B222" s="2" t="s">
        <v>244</v>
      </c>
      <c r="C222" s="1" t="s">
        <v>237</v>
      </c>
      <c r="D222" s="2" t="s">
        <v>245</v>
      </c>
      <c r="E222" s="3">
        <v>42464</v>
      </c>
      <c r="F222" s="3">
        <f t="shared" si="11"/>
        <v>45382</v>
      </c>
      <c r="G222" s="4">
        <v>464255</v>
      </c>
      <c r="H222" s="1">
        <f t="shared" si="12"/>
        <v>180</v>
      </c>
      <c r="I222" s="4">
        <v>210136.90385956081</v>
      </c>
      <c r="L222" s="8"/>
      <c r="M222" s="9"/>
      <c r="N222" s="9"/>
      <c r="O222" s="9"/>
      <c r="P222" s="9"/>
      <c r="Q222" s="10"/>
    </row>
    <row r="223" spans="1:17" x14ac:dyDescent="0.3">
      <c r="A223" s="1">
        <f t="shared" si="10"/>
        <v>222</v>
      </c>
      <c r="B223" s="2" t="s">
        <v>246</v>
      </c>
      <c r="C223" s="1" t="s">
        <v>237</v>
      </c>
      <c r="D223" s="2" t="s">
        <v>245</v>
      </c>
      <c r="E223" s="3">
        <v>42466</v>
      </c>
      <c r="F223" s="3">
        <f t="shared" si="11"/>
        <v>45382</v>
      </c>
      <c r="G223" s="4">
        <v>462081</v>
      </c>
      <c r="H223" s="1">
        <f t="shared" si="12"/>
        <v>180</v>
      </c>
      <c r="I223" s="4">
        <v>209047.45986976795</v>
      </c>
      <c r="L223" s="8"/>
      <c r="M223" s="9"/>
      <c r="N223" s="9"/>
      <c r="O223" s="9"/>
      <c r="P223" s="9"/>
      <c r="Q223" s="10"/>
    </row>
    <row r="224" spans="1:17" x14ac:dyDescent="0.3">
      <c r="A224" s="1">
        <f t="shared" si="10"/>
        <v>223</v>
      </c>
      <c r="B224" s="2" t="s">
        <v>247</v>
      </c>
      <c r="C224" s="1" t="s">
        <v>237</v>
      </c>
      <c r="D224" s="2" t="s">
        <v>245</v>
      </c>
      <c r="E224" s="3">
        <v>42470</v>
      </c>
      <c r="F224" s="3">
        <f t="shared" si="11"/>
        <v>45382</v>
      </c>
      <c r="G224" s="4">
        <v>432536</v>
      </c>
      <c r="H224" s="1">
        <f t="shared" si="12"/>
        <v>180</v>
      </c>
      <c r="I224" s="4">
        <v>195483.81217523792</v>
      </c>
      <c r="L224" s="8"/>
      <c r="M224" s="9"/>
      <c r="N224" s="9"/>
      <c r="O224" s="9"/>
      <c r="P224" s="9"/>
      <c r="Q224" s="10"/>
    </row>
    <row r="225" spans="1:17" x14ac:dyDescent="0.3">
      <c r="A225" s="1">
        <f t="shared" si="10"/>
        <v>224</v>
      </c>
      <c r="B225" s="2" t="s">
        <v>248</v>
      </c>
      <c r="C225" s="1" t="s">
        <v>237</v>
      </c>
      <c r="D225" s="2" t="s">
        <v>245</v>
      </c>
      <c r="E225" s="3">
        <v>42486</v>
      </c>
      <c r="F225" s="3">
        <f t="shared" si="11"/>
        <v>45382</v>
      </c>
      <c r="G225" s="4">
        <v>456365</v>
      </c>
      <c r="H225" s="1">
        <f t="shared" si="12"/>
        <v>180</v>
      </c>
      <c r="I225" s="4">
        <v>205420.34801120521</v>
      </c>
      <c r="L225" s="8"/>
      <c r="M225" s="9"/>
      <c r="N225" s="9"/>
      <c r="O225" s="9"/>
      <c r="P225" s="9"/>
      <c r="Q225" s="10"/>
    </row>
    <row r="226" spans="1:17" x14ac:dyDescent="0.3">
      <c r="A226" s="1">
        <f t="shared" si="10"/>
        <v>225</v>
      </c>
      <c r="B226" s="2" t="s">
        <v>249</v>
      </c>
      <c r="C226" s="1" t="s">
        <v>237</v>
      </c>
      <c r="D226" s="2" t="s">
        <v>245</v>
      </c>
      <c r="E226" s="3">
        <v>42487</v>
      </c>
      <c r="F226" s="3">
        <f t="shared" si="11"/>
        <v>45382</v>
      </c>
      <c r="G226" s="4">
        <v>804139</v>
      </c>
      <c r="H226" s="1">
        <f t="shared" si="12"/>
        <v>180</v>
      </c>
      <c r="I226" s="4">
        <v>361869.66795980837</v>
      </c>
      <c r="L226" s="8"/>
      <c r="M226" s="9"/>
      <c r="N226" s="9"/>
      <c r="O226" s="9"/>
      <c r="P226" s="9"/>
      <c r="Q226" s="10"/>
    </row>
    <row r="227" spans="1:17" x14ac:dyDescent="0.3">
      <c r="A227" s="1">
        <f t="shared" si="10"/>
        <v>226</v>
      </c>
      <c r="B227" s="2" t="s">
        <v>250</v>
      </c>
      <c r="C227" s="1" t="s">
        <v>237</v>
      </c>
      <c r="D227" s="2" t="s">
        <v>251</v>
      </c>
      <c r="E227" s="3">
        <v>42564</v>
      </c>
      <c r="F227" s="3">
        <f t="shared" si="11"/>
        <v>45382</v>
      </c>
      <c r="G227" s="4">
        <v>1060</v>
      </c>
      <c r="H227" s="1">
        <f t="shared" si="12"/>
        <v>180</v>
      </c>
      <c r="I227" s="4">
        <v>461.08846257180164</v>
      </c>
      <c r="L227" s="8"/>
      <c r="M227" s="9"/>
      <c r="N227" s="9"/>
      <c r="O227" s="9"/>
      <c r="P227" s="9"/>
      <c r="Q227" s="10"/>
    </row>
    <row r="228" spans="1:17" x14ac:dyDescent="0.3">
      <c r="A228" s="1">
        <f t="shared" si="10"/>
        <v>227</v>
      </c>
      <c r="B228" s="2" t="s">
        <v>252</v>
      </c>
      <c r="C228" s="1" t="s">
        <v>237</v>
      </c>
      <c r="D228" s="2" t="s">
        <v>251</v>
      </c>
      <c r="E228" s="3">
        <v>42574</v>
      </c>
      <c r="F228" s="3">
        <f t="shared" si="11"/>
        <v>45382</v>
      </c>
      <c r="G228" s="4">
        <v>2825</v>
      </c>
      <c r="H228" s="1">
        <f t="shared" si="12"/>
        <v>180</v>
      </c>
      <c r="I228" s="4">
        <v>1225.58302879549</v>
      </c>
      <c r="L228" s="8"/>
      <c r="M228" s="9"/>
      <c r="N228" s="9"/>
      <c r="O228" s="9"/>
      <c r="P228" s="9"/>
      <c r="Q228" s="10"/>
    </row>
    <row r="229" spans="1:17" x14ac:dyDescent="0.3">
      <c r="A229" s="1">
        <f t="shared" si="10"/>
        <v>228</v>
      </c>
      <c r="B229" s="2" t="s">
        <v>253</v>
      </c>
      <c r="C229" s="1" t="s">
        <v>237</v>
      </c>
      <c r="D229" s="2" t="s">
        <v>251</v>
      </c>
      <c r="E229" s="3">
        <v>42584</v>
      </c>
      <c r="F229" s="3">
        <f t="shared" si="11"/>
        <v>45382</v>
      </c>
      <c r="G229" s="4">
        <v>1200</v>
      </c>
      <c r="H229" s="1">
        <f t="shared" si="12"/>
        <v>180</v>
      </c>
      <c r="I229" s="4">
        <v>516.74794448831767</v>
      </c>
      <c r="L229" s="8"/>
      <c r="M229" s="9"/>
      <c r="N229" s="9"/>
      <c r="O229" s="9"/>
      <c r="P229" s="9"/>
      <c r="Q229" s="10"/>
    </row>
    <row r="230" spans="1:17" x14ac:dyDescent="0.3">
      <c r="A230" s="1">
        <f t="shared" si="10"/>
        <v>229</v>
      </c>
      <c r="B230" s="2" t="s">
        <v>254</v>
      </c>
      <c r="C230" s="1" t="s">
        <v>237</v>
      </c>
      <c r="D230" s="1" t="s">
        <v>255</v>
      </c>
      <c r="E230" s="3">
        <v>42497</v>
      </c>
      <c r="F230" s="3">
        <f t="shared" si="11"/>
        <v>45382</v>
      </c>
      <c r="G230" s="4">
        <v>2119</v>
      </c>
      <c r="H230" s="1">
        <f t="shared" si="12"/>
        <v>180</v>
      </c>
      <c r="I230" s="4">
        <v>946.70810727797721</v>
      </c>
      <c r="L230" s="8"/>
      <c r="M230" s="9"/>
      <c r="N230" s="9"/>
      <c r="O230" s="9"/>
      <c r="P230" s="9"/>
      <c r="Q230" s="10"/>
    </row>
    <row r="231" spans="1:17" x14ac:dyDescent="0.3">
      <c r="A231" s="1">
        <f t="shared" si="10"/>
        <v>230</v>
      </c>
      <c r="B231" s="2" t="s">
        <v>256</v>
      </c>
      <c r="C231" s="1" t="s">
        <v>237</v>
      </c>
      <c r="D231" s="1" t="s">
        <v>255</v>
      </c>
      <c r="E231" s="3">
        <v>42553</v>
      </c>
      <c r="F231" s="3">
        <f t="shared" si="11"/>
        <v>45382</v>
      </c>
      <c r="G231" s="4">
        <v>1315</v>
      </c>
      <c r="H231" s="1">
        <f t="shared" si="12"/>
        <v>180</v>
      </c>
      <c r="I231" s="4">
        <v>573.6805486093333</v>
      </c>
      <c r="L231" s="8"/>
      <c r="M231" s="9"/>
      <c r="N231" s="9"/>
      <c r="O231" s="9"/>
      <c r="P231" s="9"/>
      <c r="Q231" s="10"/>
    </row>
    <row r="232" spans="1:17" x14ac:dyDescent="0.3">
      <c r="A232" s="1">
        <f t="shared" si="10"/>
        <v>231</v>
      </c>
      <c r="B232" s="2" t="s">
        <v>257</v>
      </c>
      <c r="C232" s="1" t="s">
        <v>237</v>
      </c>
      <c r="D232" s="1" t="s">
        <v>255</v>
      </c>
      <c r="E232" s="3">
        <v>42567</v>
      </c>
      <c r="F232" s="3">
        <f t="shared" si="11"/>
        <v>45382</v>
      </c>
      <c r="G232" s="4">
        <v>633</v>
      </c>
      <c r="H232" s="1">
        <f t="shared" si="12"/>
        <v>180</v>
      </c>
      <c r="I232" s="4">
        <v>275.12888675441019</v>
      </c>
      <c r="L232" s="8"/>
      <c r="M232" s="9"/>
      <c r="N232" s="9"/>
      <c r="O232" s="9"/>
      <c r="P232" s="9"/>
      <c r="Q232" s="10"/>
    </row>
    <row r="233" spans="1:17" x14ac:dyDescent="0.3">
      <c r="A233" s="1">
        <f t="shared" si="10"/>
        <v>232</v>
      </c>
      <c r="B233" s="2" t="s">
        <v>258</v>
      </c>
      <c r="C233" s="1" t="s">
        <v>237</v>
      </c>
      <c r="D233" s="1" t="s">
        <v>44</v>
      </c>
      <c r="E233" s="3">
        <v>42506</v>
      </c>
      <c r="F233" s="3">
        <f t="shared" si="11"/>
        <v>45382</v>
      </c>
      <c r="G233" s="4">
        <v>22790</v>
      </c>
      <c r="H233" s="1">
        <f t="shared" si="12"/>
        <v>180</v>
      </c>
      <c r="I233" s="4">
        <v>10158.421770964344</v>
      </c>
      <c r="L233" s="8"/>
      <c r="M233" s="9"/>
      <c r="N233" s="9"/>
      <c r="O233" s="9"/>
      <c r="P233" s="9"/>
      <c r="Q233" s="10"/>
    </row>
    <row r="234" spans="1:17" x14ac:dyDescent="0.3">
      <c r="A234" s="1">
        <f t="shared" si="10"/>
        <v>233</v>
      </c>
      <c r="B234" s="2" t="s">
        <v>259</v>
      </c>
      <c r="C234" s="1" t="s">
        <v>237</v>
      </c>
      <c r="D234" s="1" t="s">
        <v>19</v>
      </c>
      <c r="E234" s="3">
        <v>42465</v>
      </c>
      <c r="F234" s="3">
        <f t="shared" si="11"/>
        <v>45382</v>
      </c>
      <c r="G234" s="4">
        <v>6602</v>
      </c>
      <c r="H234" s="1">
        <v>120</v>
      </c>
      <c r="I234" s="4">
        <v>2987.5266988389503</v>
      </c>
      <c r="L234" s="8"/>
      <c r="M234" s="9"/>
      <c r="N234" s="9"/>
      <c r="O234" s="9"/>
      <c r="P234" s="9"/>
      <c r="Q234" s="10"/>
    </row>
    <row r="235" spans="1:17" x14ac:dyDescent="0.3">
      <c r="A235" s="1">
        <f t="shared" si="10"/>
        <v>234</v>
      </c>
      <c r="B235" s="2" t="s">
        <v>260</v>
      </c>
      <c r="C235" s="1" t="s">
        <v>237</v>
      </c>
      <c r="D235" s="1" t="s">
        <v>19</v>
      </c>
      <c r="E235" s="3">
        <v>42514</v>
      </c>
      <c r="F235" s="3">
        <f t="shared" si="11"/>
        <v>45382</v>
      </c>
      <c r="G235" s="4">
        <v>6636</v>
      </c>
      <c r="H235" s="1">
        <v>120</v>
      </c>
      <c r="I235" s="4">
        <v>2951.8520614100162</v>
      </c>
      <c r="L235" s="8"/>
      <c r="M235" s="9"/>
      <c r="N235" s="9"/>
      <c r="O235" s="9"/>
      <c r="P235" s="9"/>
      <c r="Q235" s="10"/>
    </row>
    <row r="236" spans="1:17" x14ac:dyDescent="0.3">
      <c r="A236" s="1">
        <f t="shared" si="10"/>
        <v>235</v>
      </c>
      <c r="B236" s="2" t="s">
        <v>261</v>
      </c>
      <c r="C236" s="1" t="s">
        <v>237</v>
      </c>
      <c r="D236" s="1" t="s">
        <v>19</v>
      </c>
      <c r="E236" s="3">
        <v>42557</v>
      </c>
      <c r="F236" s="3">
        <f t="shared" si="11"/>
        <v>45382</v>
      </c>
      <c r="G236" s="4">
        <v>4772</v>
      </c>
      <c r="H236" s="1">
        <v>1520</v>
      </c>
      <c r="I236" s="4">
        <v>2079.6242682555949</v>
      </c>
      <c r="L236" s="8"/>
      <c r="M236" s="9"/>
      <c r="N236" s="9"/>
      <c r="O236" s="9"/>
      <c r="P236" s="9"/>
      <c r="Q236" s="10"/>
    </row>
    <row r="237" spans="1:17" x14ac:dyDescent="0.3">
      <c r="A237" s="1">
        <f t="shared" si="10"/>
        <v>236</v>
      </c>
      <c r="B237" s="2" t="s">
        <v>262</v>
      </c>
      <c r="C237" s="1" t="s">
        <v>237</v>
      </c>
      <c r="D237" s="1" t="s">
        <v>19</v>
      </c>
      <c r="E237" s="3">
        <v>42586</v>
      </c>
      <c r="F237" s="3">
        <f t="shared" si="11"/>
        <v>45382</v>
      </c>
      <c r="G237" s="4">
        <v>2386</v>
      </c>
      <c r="H237" s="1">
        <v>120</v>
      </c>
      <c r="I237" s="4">
        <v>1026.9141301414229</v>
      </c>
      <c r="L237" s="8"/>
      <c r="M237" s="9"/>
      <c r="N237" s="9"/>
      <c r="O237" s="9"/>
      <c r="P237" s="9"/>
      <c r="Q237" s="10"/>
    </row>
    <row r="238" spans="1:17" x14ac:dyDescent="0.3">
      <c r="A238" s="1">
        <f t="shared" si="10"/>
        <v>237</v>
      </c>
      <c r="B238" s="2" t="s">
        <v>262</v>
      </c>
      <c r="C238" s="1" t="s">
        <v>237</v>
      </c>
      <c r="D238" s="1" t="s">
        <v>19</v>
      </c>
      <c r="E238" s="3">
        <v>42602</v>
      </c>
      <c r="F238" s="3">
        <f t="shared" si="11"/>
        <v>45382</v>
      </c>
      <c r="G238" s="4">
        <v>1050</v>
      </c>
      <c r="H238" s="1">
        <v>120</v>
      </c>
      <c r="I238" s="4">
        <v>449.96410770853458</v>
      </c>
      <c r="L238" s="8"/>
      <c r="M238" s="9"/>
      <c r="N238" s="9"/>
      <c r="O238" s="9"/>
      <c r="P238" s="9"/>
      <c r="Q238" s="10"/>
    </row>
    <row r="239" spans="1:17" x14ac:dyDescent="0.3">
      <c r="A239" s="1">
        <f t="shared" si="10"/>
        <v>238</v>
      </c>
      <c r="B239" s="2" t="s">
        <v>263</v>
      </c>
      <c r="C239" s="1" t="s">
        <v>237</v>
      </c>
      <c r="D239" s="1" t="s">
        <v>99</v>
      </c>
      <c r="E239" s="3">
        <v>42627</v>
      </c>
      <c r="F239" s="3">
        <f t="shared" si="11"/>
        <v>45382</v>
      </c>
      <c r="G239" s="4">
        <v>155002</v>
      </c>
      <c r="H239" s="1">
        <f t="shared" ref="H239:H302" si="13">15*12</f>
        <v>180</v>
      </c>
      <c r="I239" s="4">
        <v>65667.487762538265</v>
      </c>
      <c r="L239" s="8"/>
      <c r="M239" s="9"/>
      <c r="N239" s="9"/>
      <c r="O239" s="9"/>
      <c r="P239" s="9"/>
      <c r="Q239" s="10"/>
    </row>
    <row r="240" spans="1:17" x14ac:dyDescent="0.3">
      <c r="A240" s="1">
        <f t="shared" si="10"/>
        <v>239</v>
      </c>
      <c r="B240" s="2" t="s">
        <v>264</v>
      </c>
      <c r="C240" s="1" t="s">
        <v>237</v>
      </c>
      <c r="D240" s="1" t="s">
        <v>265</v>
      </c>
      <c r="E240" s="3">
        <v>42642</v>
      </c>
      <c r="F240" s="3">
        <f t="shared" si="11"/>
        <v>45382</v>
      </c>
      <c r="G240" s="4">
        <v>5000</v>
      </c>
      <c r="H240" s="1">
        <f t="shared" si="13"/>
        <v>180</v>
      </c>
      <c r="I240" s="4">
        <v>2109.5546574702139</v>
      </c>
      <c r="L240" s="8"/>
      <c r="M240" s="9"/>
      <c r="N240" s="9"/>
      <c r="O240" s="9"/>
      <c r="P240" s="9"/>
      <c r="Q240" s="10"/>
    </row>
    <row r="241" spans="1:17" x14ac:dyDescent="0.3">
      <c r="A241" s="1">
        <f t="shared" si="10"/>
        <v>240</v>
      </c>
      <c r="B241" s="2" t="s">
        <v>266</v>
      </c>
      <c r="C241" s="1" t="s">
        <v>237</v>
      </c>
      <c r="D241" s="1" t="s">
        <v>42</v>
      </c>
      <c r="E241" s="3">
        <v>42642</v>
      </c>
      <c r="F241" s="3">
        <f t="shared" si="11"/>
        <v>45382</v>
      </c>
      <c r="G241" s="4">
        <v>37000</v>
      </c>
      <c r="H241" s="1">
        <f t="shared" si="13"/>
        <v>180</v>
      </c>
      <c r="I241" s="4">
        <v>15610.704465279583</v>
      </c>
      <c r="L241" s="8"/>
      <c r="M241" s="9"/>
      <c r="N241" s="9"/>
      <c r="O241" s="9"/>
      <c r="P241" s="9"/>
      <c r="Q241" s="10"/>
    </row>
    <row r="242" spans="1:17" x14ac:dyDescent="0.3">
      <c r="A242" s="1">
        <f t="shared" si="10"/>
        <v>241</v>
      </c>
      <c r="B242" s="2" t="s">
        <v>267</v>
      </c>
      <c r="C242" s="1" t="s">
        <v>237</v>
      </c>
      <c r="D242" s="1"/>
      <c r="E242" s="3">
        <v>42714</v>
      </c>
      <c r="F242" s="3">
        <f t="shared" si="11"/>
        <v>45382</v>
      </c>
      <c r="G242" s="4">
        <v>5300</v>
      </c>
      <c r="H242" s="1">
        <f t="shared" si="13"/>
        <v>180</v>
      </c>
      <c r="I242" s="4">
        <v>2159.6890664537891</v>
      </c>
      <c r="L242" s="8"/>
      <c r="M242" s="9"/>
      <c r="N242" s="9"/>
      <c r="O242" s="9"/>
      <c r="P242" s="9"/>
      <c r="Q242" s="10"/>
    </row>
    <row r="243" spans="1:17" x14ac:dyDescent="0.3">
      <c r="A243" s="1">
        <f t="shared" si="10"/>
        <v>242</v>
      </c>
      <c r="B243" s="2" t="s">
        <v>268</v>
      </c>
      <c r="C243" s="1" t="s">
        <v>237</v>
      </c>
      <c r="D243" s="1" t="s">
        <v>269</v>
      </c>
      <c r="E243" s="3">
        <v>42714</v>
      </c>
      <c r="F243" s="3">
        <f t="shared" si="11"/>
        <v>45382</v>
      </c>
      <c r="G243" s="4">
        <v>44577</v>
      </c>
      <c r="H243" s="1">
        <f t="shared" si="13"/>
        <v>180</v>
      </c>
      <c r="I243" s="4">
        <v>18164.615002888786</v>
      </c>
      <c r="L243" s="8"/>
      <c r="M243" s="9"/>
      <c r="N243" s="9"/>
      <c r="O243" s="9"/>
      <c r="P243" s="9"/>
      <c r="Q243" s="10"/>
    </row>
    <row r="244" spans="1:17" x14ac:dyDescent="0.3">
      <c r="A244" s="1">
        <f t="shared" si="10"/>
        <v>243</v>
      </c>
      <c r="B244" s="2" t="s">
        <v>270</v>
      </c>
      <c r="C244" s="1" t="s">
        <v>237</v>
      </c>
      <c r="D244" s="1"/>
      <c r="E244" s="3">
        <v>42719</v>
      </c>
      <c r="F244" s="3">
        <f t="shared" si="11"/>
        <v>45382</v>
      </c>
      <c r="G244" s="4">
        <v>4500</v>
      </c>
      <c r="H244" s="1">
        <f t="shared" si="13"/>
        <v>180</v>
      </c>
      <c r="I244" s="4">
        <v>1831.0521296134825</v>
      </c>
      <c r="L244" s="8"/>
      <c r="M244" s="9"/>
      <c r="N244" s="9"/>
      <c r="O244" s="9"/>
      <c r="P244" s="9"/>
      <c r="Q244" s="10"/>
    </row>
    <row r="245" spans="1:17" x14ac:dyDescent="0.3">
      <c r="A245" s="1">
        <f t="shared" si="10"/>
        <v>244</v>
      </c>
      <c r="B245" s="2" t="s">
        <v>271</v>
      </c>
      <c r="C245" s="1" t="s">
        <v>237</v>
      </c>
      <c r="D245" s="1" t="s">
        <v>272</v>
      </c>
      <c r="E245" s="3">
        <v>42727</v>
      </c>
      <c r="F245" s="3">
        <f t="shared" si="11"/>
        <v>45382</v>
      </c>
      <c r="G245" s="4">
        <v>3750</v>
      </c>
      <c r="H245" s="1">
        <f t="shared" si="13"/>
        <v>180</v>
      </c>
      <c r="I245" s="4">
        <v>1522.3485955356143</v>
      </c>
      <c r="L245" s="8"/>
      <c r="M245" s="9"/>
      <c r="N245" s="9"/>
      <c r="O245" s="9"/>
      <c r="P245" s="9"/>
      <c r="Q245" s="10"/>
    </row>
    <row r="246" spans="1:17" x14ac:dyDescent="0.3">
      <c r="A246" s="1">
        <f t="shared" si="10"/>
        <v>245</v>
      </c>
      <c r="B246" s="2" t="s">
        <v>273</v>
      </c>
      <c r="C246" s="1" t="s">
        <v>237</v>
      </c>
      <c r="D246" s="1" t="s">
        <v>274</v>
      </c>
      <c r="E246" s="3">
        <v>42727</v>
      </c>
      <c r="F246" s="3">
        <f t="shared" si="11"/>
        <v>45382</v>
      </c>
      <c r="G246" s="4">
        <v>5932</v>
      </c>
      <c r="H246" s="1">
        <f t="shared" si="13"/>
        <v>180</v>
      </c>
      <c r="I246" s="4">
        <v>2408.1524983246036</v>
      </c>
      <c r="L246" s="8"/>
      <c r="M246" s="9"/>
      <c r="N246" s="9"/>
      <c r="O246" s="9"/>
      <c r="P246" s="9"/>
      <c r="Q246" s="10"/>
    </row>
    <row r="247" spans="1:17" x14ac:dyDescent="0.3">
      <c r="A247" s="1">
        <f t="shared" si="10"/>
        <v>246</v>
      </c>
      <c r="B247" s="2" t="s">
        <v>275</v>
      </c>
      <c r="C247" s="1" t="s">
        <v>237</v>
      </c>
      <c r="D247" s="1" t="s">
        <v>276</v>
      </c>
      <c r="E247" s="3">
        <v>42727</v>
      </c>
      <c r="F247" s="3">
        <f t="shared" si="11"/>
        <v>45382</v>
      </c>
      <c r="G247" s="4">
        <v>8729</v>
      </c>
      <c r="H247" s="1">
        <f t="shared" si="13"/>
        <v>180</v>
      </c>
      <c r="I247" s="4">
        <v>3543.6215707814345</v>
      </c>
      <c r="L247" s="8"/>
      <c r="M247" s="9"/>
      <c r="N247" s="9"/>
      <c r="O247" s="9"/>
      <c r="P247" s="9"/>
      <c r="Q247" s="10"/>
    </row>
    <row r="248" spans="1:17" x14ac:dyDescent="0.3">
      <c r="A248" s="1">
        <f t="shared" si="10"/>
        <v>247</v>
      </c>
      <c r="B248" s="2" t="s">
        <v>277</v>
      </c>
      <c r="C248" s="1" t="s">
        <v>237</v>
      </c>
      <c r="E248" s="3">
        <v>42732</v>
      </c>
      <c r="F248" s="3">
        <f t="shared" si="11"/>
        <v>45382</v>
      </c>
      <c r="G248" s="4">
        <v>6716</v>
      </c>
      <c r="H248" s="1">
        <f t="shared" si="13"/>
        <v>180</v>
      </c>
      <c r="I248" s="4">
        <v>2722.4756361779823</v>
      </c>
      <c r="L248" s="8"/>
      <c r="M248" s="9"/>
      <c r="N248" s="9"/>
      <c r="O248" s="9"/>
      <c r="P248" s="9"/>
      <c r="Q248" s="10"/>
    </row>
    <row r="249" spans="1:17" x14ac:dyDescent="0.3">
      <c r="A249" s="1">
        <f t="shared" si="10"/>
        <v>248</v>
      </c>
      <c r="B249" s="2" t="s">
        <v>278</v>
      </c>
      <c r="C249" s="1" t="s">
        <v>237</v>
      </c>
      <c r="D249" s="1" t="s">
        <v>279</v>
      </c>
      <c r="E249" s="3">
        <v>42733</v>
      </c>
      <c r="F249" s="3">
        <f t="shared" si="11"/>
        <v>45382</v>
      </c>
      <c r="G249" s="4">
        <v>3750</v>
      </c>
      <c r="H249" s="1">
        <f t="shared" si="13"/>
        <v>180</v>
      </c>
      <c r="I249" s="4">
        <v>1519.7024611788984</v>
      </c>
      <c r="L249" s="8"/>
      <c r="M249" s="9"/>
      <c r="N249" s="9"/>
      <c r="O249" s="9"/>
      <c r="P249" s="9"/>
      <c r="Q249" s="10"/>
    </row>
    <row r="250" spans="1:17" x14ac:dyDescent="0.3">
      <c r="A250" s="1">
        <f t="shared" si="10"/>
        <v>249</v>
      </c>
      <c r="B250" s="2" t="s">
        <v>280</v>
      </c>
      <c r="C250" s="1" t="s">
        <v>237</v>
      </c>
      <c r="D250" s="1" t="s">
        <v>281</v>
      </c>
      <c r="E250" s="3">
        <v>42665</v>
      </c>
      <c r="F250" s="3">
        <f t="shared" si="11"/>
        <v>45382</v>
      </c>
      <c r="G250" s="4">
        <v>29525</v>
      </c>
      <c r="H250" s="1">
        <f t="shared" si="13"/>
        <v>180</v>
      </c>
      <c r="I250" s="4">
        <v>12317.653314825475</v>
      </c>
      <c r="L250" s="8"/>
      <c r="M250" s="9"/>
      <c r="N250" s="9"/>
      <c r="O250" s="9"/>
      <c r="P250" s="9"/>
      <c r="Q250" s="10"/>
    </row>
    <row r="251" spans="1:17" x14ac:dyDescent="0.3">
      <c r="A251" s="1">
        <f t="shared" si="10"/>
        <v>250</v>
      </c>
      <c r="B251" s="2" t="s">
        <v>282</v>
      </c>
      <c r="C251" s="1" t="s">
        <v>237</v>
      </c>
      <c r="D251" s="1" t="s">
        <v>282</v>
      </c>
      <c r="E251" s="3">
        <v>42714</v>
      </c>
      <c r="F251" s="3">
        <f t="shared" si="11"/>
        <v>45382</v>
      </c>
      <c r="G251" s="4">
        <v>7000</v>
      </c>
      <c r="H251" s="1">
        <f t="shared" si="13"/>
        <v>180</v>
      </c>
      <c r="I251" s="4">
        <v>2852.41952173142</v>
      </c>
      <c r="L251" s="8"/>
      <c r="M251" s="9"/>
      <c r="N251" s="9"/>
      <c r="O251" s="9"/>
      <c r="P251" s="9"/>
      <c r="Q251" s="10"/>
    </row>
    <row r="252" spans="1:17" x14ac:dyDescent="0.3">
      <c r="A252" s="1">
        <f t="shared" si="10"/>
        <v>251</v>
      </c>
      <c r="B252" s="2" t="s">
        <v>283</v>
      </c>
      <c r="C252" s="1" t="s">
        <v>237</v>
      </c>
      <c r="D252" s="1" t="s">
        <v>255</v>
      </c>
      <c r="E252" s="3">
        <v>42714</v>
      </c>
      <c r="F252" s="3">
        <f t="shared" si="11"/>
        <v>45382</v>
      </c>
      <c r="G252" s="4">
        <v>742</v>
      </c>
      <c r="H252" s="1">
        <f t="shared" si="13"/>
        <v>180</v>
      </c>
      <c r="I252" s="4">
        <v>302.3564693035305</v>
      </c>
      <c r="L252" s="8"/>
      <c r="M252" s="9"/>
      <c r="N252" s="9"/>
      <c r="O252" s="9"/>
      <c r="P252" s="9"/>
      <c r="Q252" s="10"/>
    </row>
    <row r="253" spans="1:17" x14ac:dyDescent="0.3">
      <c r="A253" s="1">
        <f t="shared" si="10"/>
        <v>252</v>
      </c>
      <c r="B253" s="2" t="s">
        <v>284</v>
      </c>
      <c r="C253" s="1" t="s">
        <v>237</v>
      </c>
      <c r="D253" s="1" t="s">
        <v>251</v>
      </c>
      <c r="E253" s="3">
        <v>42663</v>
      </c>
      <c r="F253" s="3">
        <f t="shared" si="11"/>
        <v>45382</v>
      </c>
      <c r="G253" s="4">
        <v>4600</v>
      </c>
      <c r="H253" s="1">
        <f t="shared" si="13"/>
        <v>180</v>
      </c>
      <c r="I253" s="4">
        <v>1920.1666583008084</v>
      </c>
      <c r="L253" s="8"/>
      <c r="M253" s="9"/>
      <c r="N253" s="9"/>
      <c r="O253" s="9"/>
      <c r="P253" s="9"/>
      <c r="Q253" s="10"/>
    </row>
    <row r="254" spans="1:17" x14ac:dyDescent="0.3">
      <c r="A254" s="1">
        <f t="shared" si="10"/>
        <v>253</v>
      </c>
      <c r="B254" s="2" t="s">
        <v>285</v>
      </c>
      <c r="C254" s="1" t="s">
        <v>237</v>
      </c>
      <c r="D254" s="1" t="s">
        <v>251</v>
      </c>
      <c r="E254" s="3">
        <v>42716</v>
      </c>
      <c r="F254" s="3">
        <f t="shared" si="11"/>
        <v>45382</v>
      </c>
      <c r="G254" s="4">
        <v>1200</v>
      </c>
      <c r="H254" s="1">
        <f t="shared" si="13"/>
        <v>180</v>
      </c>
      <c r="I254" s="4">
        <v>488.70394939400325</v>
      </c>
      <c r="L254" s="8"/>
      <c r="M254" s="9"/>
      <c r="N254" s="9"/>
      <c r="O254" s="9"/>
      <c r="P254" s="9"/>
      <c r="Q254" s="10"/>
    </row>
    <row r="255" spans="1:17" x14ac:dyDescent="0.3">
      <c r="A255" s="1">
        <f t="shared" si="10"/>
        <v>254</v>
      </c>
      <c r="B255" s="2" t="s">
        <v>286</v>
      </c>
      <c r="C255" s="1" t="s">
        <v>237</v>
      </c>
      <c r="D255" s="1" t="s">
        <v>287</v>
      </c>
      <c r="E255" s="3">
        <v>42650</v>
      </c>
      <c r="F255" s="3">
        <f t="shared" si="11"/>
        <v>45382</v>
      </c>
      <c r="G255" s="4">
        <v>45802</v>
      </c>
      <c r="H255" s="1">
        <f t="shared" si="13"/>
        <v>180</v>
      </c>
      <c r="I255" s="4">
        <v>19188.537474926132</v>
      </c>
      <c r="L255" s="8"/>
      <c r="M255" s="9"/>
      <c r="N255" s="9"/>
      <c r="O255" s="9"/>
      <c r="P255" s="9"/>
      <c r="Q255" s="10"/>
    </row>
    <row r="256" spans="1:17" x14ac:dyDescent="0.3">
      <c r="A256" s="1">
        <f t="shared" si="10"/>
        <v>255</v>
      </c>
      <c r="B256" s="2" t="s">
        <v>288</v>
      </c>
      <c r="C256" s="1" t="s">
        <v>237</v>
      </c>
      <c r="D256" s="1" t="s">
        <v>289</v>
      </c>
      <c r="E256" s="3">
        <v>42651</v>
      </c>
      <c r="F256" s="3">
        <f t="shared" si="11"/>
        <v>45382</v>
      </c>
      <c r="G256" s="4">
        <v>131250</v>
      </c>
      <c r="H256" s="1">
        <f t="shared" si="13"/>
        <v>180</v>
      </c>
      <c r="I256" s="4">
        <v>54971.259844175271</v>
      </c>
      <c r="L256" s="8"/>
      <c r="M256" s="9"/>
      <c r="N256" s="9"/>
      <c r="O256" s="9"/>
      <c r="P256" s="9"/>
      <c r="Q256" s="10"/>
    </row>
    <row r="257" spans="1:17" x14ac:dyDescent="0.3">
      <c r="A257" s="1">
        <f t="shared" si="10"/>
        <v>256</v>
      </c>
      <c r="B257" s="2" t="s">
        <v>290</v>
      </c>
      <c r="C257" s="1" t="s">
        <v>237</v>
      </c>
      <c r="D257" s="1" t="s">
        <v>291</v>
      </c>
      <c r="E257" s="3">
        <v>42653</v>
      </c>
      <c r="F257" s="3">
        <f t="shared" si="11"/>
        <v>45382</v>
      </c>
      <c r="G257" s="4">
        <v>997500</v>
      </c>
      <c r="H257" s="1">
        <f t="shared" si="13"/>
        <v>180</v>
      </c>
      <c r="I257" s="4">
        <v>417548.63994264108</v>
      </c>
      <c r="L257" s="8"/>
      <c r="M257" s="9"/>
      <c r="N257" s="9"/>
      <c r="O257" s="9"/>
      <c r="P257" s="9"/>
      <c r="Q257" s="10"/>
    </row>
    <row r="258" spans="1:17" x14ac:dyDescent="0.3">
      <c r="A258" s="1">
        <f t="shared" si="10"/>
        <v>257</v>
      </c>
      <c r="B258" s="2" t="s">
        <v>292</v>
      </c>
      <c r="C258" s="1" t="s">
        <v>237</v>
      </c>
      <c r="D258" s="1" t="s">
        <v>14</v>
      </c>
      <c r="E258" s="3">
        <v>42663</v>
      </c>
      <c r="F258" s="3">
        <f t="shared" si="11"/>
        <v>45382</v>
      </c>
      <c r="G258" s="4">
        <v>45998</v>
      </c>
      <c r="H258" s="1">
        <f t="shared" si="13"/>
        <v>180</v>
      </c>
      <c r="I258" s="4">
        <v>19200.831727939258</v>
      </c>
      <c r="L258" s="8"/>
      <c r="M258" s="9"/>
      <c r="N258" s="9"/>
      <c r="O258" s="9"/>
      <c r="P258" s="9"/>
      <c r="Q258" s="10"/>
    </row>
    <row r="259" spans="1:17" x14ac:dyDescent="0.3">
      <c r="A259" s="1">
        <f t="shared" ref="A259:A322" si="14">A258+1</f>
        <v>258</v>
      </c>
      <c r="B259" s="2" t="s">
        <v>293</v>
      </c>
      <c r="C259" s="1" t="s">
        <v>237</v>
      </c>
      <c r="D259" s="1" t="s">
        <v>14</v>
      </c>
      <c r="E259" s="3">
        <v>42663</v>
      </c>
      <c r="F259" s="3">
        <f t="shared" si="11"/>
        <v>45382</v>
      </c>
      <c r="G259" s="4">
        <v>138950</v>
      </c>
      <c r="H259" s="1">
        <f t="shared" si="13"/>
        <v>180</v>
      </c>
      <c r="I259" s="4">
        <v>58001.555906716807</v>
      </c>
      <c r="L259" s="8"/>
      <c r="M259" s="9"/>
      <c r="N259" s="9"/>
      <c r="O259" s="9"/>
      <c r="P259" s="9"/>
      <c r="Q259" s="10"/>
    </row>
    <row r="260" spans="1:17" x14ac:dyDescent="0.3">
      <c r="A260" s="1">
        <f t="shared" si="14"/>
        <v>259</v>
      </c>
      <c r="B260" s="2" t="s">
        <v>294</v>
      </c>
      <c r="C260" s="1" t="s">
        <v>237</v>
      </c>
      <c r="D260" s="1" t="s">
        <v>14</v>
      </c>
      <c r="E260" s="3">
        <v>42665</v>
      </c>
      <c r="F260" s="3">
        <f t="shared" ref="F260:F323" si="15">F259</f>
        <v>45382</v>
      </c>
      <c r="G260" s="4">
        <v>25011</v>
      </c>
      <c r="H260" s="1">
        <f t="shared" si="13"/>
        <v>180</v>
      </c>
      <c r="I260" s="4">
        <v>10434.439527759521</v>
      </c>
      <c r="L260" s="8"/>
      <c r="M260" s="9"/>
      <c r="N260" s="9"/>
      <c r="O260" s="9"/>
      <c r="P260" s="9"/>
      <c r="Q260" s="10"/>
    </row>
    <row r="261" spans="1:17" x14ac:dyDescent="0.3">
      <c r="A261" s="1">
        <f t="shared" si="14"/>
        <v>260</v>
      </c>
      <c r="B261" s="2" t="s">
        <v>295</v>
      </c>
      <c r="C261" s="1" t="s">
        <v>237</v>
      </c>
      <c r="D261" s="1" t="s">
        <v>14</v>
      </c>
      <c r="E261" s="3">
        <v>42665</v>
      </c>
      <c r="F261" s="3">
        <f t="shared" si="15"/>
        <v>45382</v>
      </c>
      <c r="G261" s="4">
        <v>80163</v>
      </c>
      <c r="H261" s="1">
        <f t="shared" si="13"/>
        <v>180</v>
      </c>
      <c r="I261" s="4">
        <v>33443.523884042486</v>
      </c>
      <c r="L261" s="8"/>
      <c r="M261" s="9"/>
      <c r="N261" s="9"/>
      <c r="O261" s="9"/>
      <c r="P261" s="9"/>
      <c r="Q261" s="10"/>
    </row>
    <row r="262" spans="1:17" x14ac:dyDescent="0.3">
      <c r="A262" s="1">
        <f t="shared" si="14"/>
        <v>261</v>
      </c>
      <c r="B262" s="2" t="s">
        <v>296</v>
      </c>
      <c r="C262" s="1" t="s">
        <v>237</v>
      </c>
      <c r="D262" s="1" t="s">
        <v>14</v>
      </c>
      <c r="E262" s="3">
        <v>42746</v>
      </c>
      <c r="F262" s="3">
        <f t="shared" si="15"/>
        <v>45382</v>
      </c>
      <c r="G262" s="4">
        <v>2500</v>
      </c>
      <c r="H262" s="1">
        <f t="shared" si="13"/>
        <v>180</v>
      </c>
      <c r="I262" s="4">
        <v>1004.3101425778865</v>
      </c>
      <c r="L262" s="8"/>
      <c r="M262" s="9"/>
      <c r="N262" s="9"/>
      <c r="O262" s="9"/>
      <c r="P262" s="9"/>
      <c r="Q262" s="10"/>
    </row>
    <row r="263" spans="1:17" x14ac:dyDescent="0.3">
      <c r="A263" s="1">
        <f t="shared" si="14"/>
        <v>262</v>
      </c>
      <c r="B263" s="2" t="s">
        <v>297</v>
      </c>
      <c r="C263" s="1" t="s">
        <v>237</v>
      </c>
      <c r="D263" s="1" t="s">
        <v>14</v>
      </c>
      <c r="E263" s="3">
        <v>42746</v>
      </c>
      <c r="F263" s="3">
        <f t="shared" si="15"/>
        <v>45382</v>
      </c>
      <c r="G263" s="4">
        <v>7800</v>
      </c>
      <c r="H263" s="1">
        <f t="shared" si="13"/>
        <v>180</v>
      </c>
      <c r="I263" s="4">
        <v>3133.4476448430059</v>
      </c>
      <c r="L263" s="8"/>
      <c r="M263" s="9"/>
      <c r="N263" s="9"/>
      <c r="O263" s="9"/>
      <c r="P263" s="9"/>
      <c r="Q263" s="10"/>
    </row>
    <row r="264" spans="1:17" x14ac:dyDescent="0.3">
      <c r="A264" s="1">
        <f t="shared" si="14"/>
        <v>263</v>
      </c>
      <c r="B264" s="2" t="s">
        <v>296</v>
      </c>
      <c r="C264" s="1" t="s">
        <v>237</v>
      </c>
      <c r="D264" s="1" t="s">
        <v>14</v>
      </c>
      <c r="E264" s="3">
        <v>42755</v>
      </c>
      <c r="F264" s="3">
        <f t="shared" si="15"/>
        <v>45382</v>
      </c>
      <c r="G264" s="4">
        <v>2500</v>
      </c>
      <c r="H264" s="1">
        <f t="shared" si="13"/>
        <v>180</v>
      </c>
      <c r="I264" s="4">
        <v>1001.6545070498106</v>
      </c>
      <c r="L264" s="8"/>
      <c r="M264" s="9"/>
      <c r="N264" s="9"/>
      <c r="O264" s="9"/>
      <c r="P264" s="9"/>
      <c r="Q264" s="10"/>
    </row>
    <row r="265" spans="1:17" x14ac:dyDescent="0.3">
      <c r="A265" s="1">
        <f t="shared" si="14"/>
        <v>264</v>
      </c>
      <c r="B265" s="2" t="s">
        <v>296</v>
      </c>
      <c r="C265" s="1" t="s">
        <v>237</v>
      </c>
      <c r="D265" s="1" t="s">
        <v>14</v>
      </c>
      <c r="E265" s="3">
        <v>42755</v>
      </c>
      <c r="F265" s="3">
        <f t="shared" si="15"/>
        <v>45382</v>
      </c>
      <c r="G265" s="4">
        <v>2500</v>
      </c>
      <c r="H265" s="1">
        <f t="shared" si="13"/>
        <v>180</v>
      </c>
      <c r="I265" s="4">
        <v>1001.6545070498106</v>
      </c>
      <c r="L265" s="8"/>
      <c r="M265" s="9"/>
      <c r="N265" s="9"/>
      <c r="O265" s="9"/>
      <c r="P265" s="9"/>
      <c r="Q265" s="10"/>
    </row>
    <row r="266" spans="1:17" x14ac:dyDescent="0.3">
      <c r="A266" s="1">
        <f t="shared" si="14"/>
        <v>265</v>
      </c>
      <c r="B266" s="2" t="s">
        <v>298</v>
      </c>
      <c r="C266" s="1" t="s">
        <v>237</v>
      </c>
      <c r="D266" s="1" t="s">
        <v>14</v>
      </c>
      <c r="E266" s="3">
        <v>42767</v>
      </c>
      <c r="F266" s="3">
        <f t="shared" si="15"/>
        <v>45382</v>
      </c>
      <c r="G266" s="4">
        <v>119851</v>
      </c>
      <c r="H266" s="1">
        <f t="shared" si="13"/>
        <v>180</v>
      </c>
      <c r="I266" s="4">
        <v>47634.943129239284</v>
      </c>
      <c r="L266" s="8"/>
      <c r="M266" s="9"/>
      <c r="N266" s="9"/>
      <c r="O266" s="9"/>
      <c r="P266" s="9"/>
      <c r="Q266" s="10"/>
    </row>
    <row r="267" spans="1:17" x14ac:dyDescent="0.3">
      <c r="A267" s="1">
        <f t="shared" si="14"/>
        <v>266</v>
      </c>
      <c r="B267" s="2" t="s">
        <v>299</v>
      </c>
      <c r="C267" s="1" t="s">
        <v>237</v>
      </c>
      <c r="D267" s="1" t="s">
        <v>265</v>
      </c>
      <c r="E267" s="3">
        <v>42717</v>
      </c>
      <c r="F267" s="3">
        <f t="shared" si="15"/>
        <v>45382</v>
      </c>
      <c r="G267" s="4">
        <v>3700</v>
      </c>
      <c r="H267" s="1">
        <f t="shared" si="13"/>
        <v>180</v>
      </c>
      <c r="I267" s="4">
        <v>1506.4020352039611</v>
      </c>
      <c r="L267" s="8"/>
      <c r="M267" s="9"/>
      <c r="N267" s="9"/>
      <c r="O267" s="9"/>
      <c r="P267" s="9"/>
      <c r="Q267" s="10"/>
    </row>
    <row r="268" spans="1:17" s="11" customFormat="1" x14ac:dyDescent="0.3">
      <c r="A268" s="1">
        <f t="shared" si="14"/>
        <v>267</v>
      </c>
      <c r="B268" s="11" t="s">
        <v>300</v>
      </c>
      <c r="C268" s="12" t="s">
        <v>237</v>
      </c>
      <c r="D268" s="1" t="s">
        <v>265</v>
      </c>
      <c r="E268" s="13">
        <v>42735</v>
      </c>
      <c r="F268" s="3">
        <f t="shared" si="15"/>
        <v>45382</v>
      </c>
      <c r="G268" s="14">
        <v>2508</v>
      </c>
      <c r="H268" s="12">
        <f t="shared" si="13"/>
        <v>180</v>
      </c>
      <c r="I268" s="4">
        <v>1015.7870944838568</v>
      </c>
      <c r="J268" s="3"/>
      <c r="K268" s="4"/>
      <c r="L268" s="8"/>
      <c r="M268" s="9"/>
      <c r="N268" s="9"/>
      <c r="O268" s="9"/>
      <c r="P268" s="9"/>
      <c r="Q268" s="10"/>
    </row>
    <row r="269" spans="1:17" x14ac:dyDescent="0.3">
      <c r="A269" s="1">
        <f t="shared" si="14"/>
        <v>268</v>
      </c>
      <c r="B269" s="2" t="s">
        <v>301</v>
      </c>
      <c r="C269" s="1" t="s">
        <v>302</v>
      </c>
      <c r="D269" s="1" t="s">
        <v>12</v>
      </c>
      <c r="E269" s="3">
        <v>42826</v>
      </c>
      <c r="F269" s="3">
        <f t="shared" si="15"/>
        <v>45382</v>
      </c>
      <c r="G269" s="15">
        <v>687797</v>
      </c>
      <c r="H269" s="1">
        <f t="shared" si="13"/>
        <v>180</v>
      </c>
      <c r="I269" s="4">
        <v>263509.15305777395</v>
      </c>
      <c r="L269" s="8"/>
      <c r="M269" s="9"/>
      <c r="N269" s="9"/>
      <c r="O269" s="9"/>
      <c r="P269" s="9"/>
      <c r="Q269" s="10"/>
    </row>
    <row r="270" spans="1:17" x14ac:dyDescent="0.3">
      <c r="A270" s="1">
        <f t="shared" si="14"/>
        <v>269</v>
      </c>
      <c r="B270" s="2" t="s">
        <v>303</v>
      </c>
      <c r="C270" s="1" t="s">
        <v>302</v>
      </c>
      <c r="D270" s="1" t="s">
        <v>12</v>
      </c>
      <c r="E270" s="3">
        <v>42882</v>
      </c>
      <c r="F270" s="3">
        <f t="shared" si="15"/>
        <v>45382</v>
      </c>
      <c r="G270" s="15">
        <v>4400</v>
      </c>
      <c r="H270" s="1">
        <f t="shared" si="13"/>
        <v>180</v>
      </c>
      <c r="I270" s="4">
        <v>1661.352857623509</v>
      </c>
      <c r="L270" s="8"/>
      <c r="M270" s="9"/>
      <c r="N270" s="9"/>
      <c r="O270" s="9"/>
      <c r="P270" s="9"/>
      <c r="Q270" s="10"/>
    </row>
    <row r="271" spans="1:17" x14ac:dyDescent="0.3">
      <c r="A271" s="1">
        <f t="shared" si="14"/>
        <v>270</v>
      </c>
      <c r="B271" s="2" t="s">
        <v>304</v>
      </c>
      <c r="C271" s="1" t="s">
        <v>302</v>
      </c>
      <c r="D271" s="1" t="s">
        <v>12</v>
      </c>
      <c r="E271" s="3">
        <v>42986</v>
      </c>
      <c r="F271" s="3">
        <f t="shared" si="15"/>
        <v>45382</v>
      </c>
      <c r="G271" s="15">
        <v>1350</v>
      </c>
      <c r="H271" s="1">
        <f t="shared" si="13"/>
        <v>180</v>
      </c>
      <c r="I271" s="4">
        <v>479.9769835965235</v>
      </c>
      <c r="L271" s="8"/>
      <c r="M271" s="9"/>
      <c r="N271" s="9"/>
      <c r="O271" s="9"/>
      <c r="P271" s="9"/>
      <c r="Q271" s="10"/>
    </row>
    <row r="272" spans="1:17" x14ac:dyDescent="0.3">
      <c r="A272" s="1">
        <f t="shared" si="14"/>
        <v>271</v>
      </c>
      <c r="B272" s="2" t="s">
        <v>305</v>
      </c>
      <c r="C272" s="1" t="s">
        <v>302</v>
      </c>
      <c r="D272" s="1" t="s">
        <v>12</v>
      </c>
      <c r="E272" s="3">
        <v>43088</v>
      </c>
      <c r="F272" s="3">
        <f t="shared" si="15"/>
        <v>45382</v>
      </c>
      <c r="G272" s="15">
        <v>9604</v>
      </c>
      <c r="H272" s="1">
        <f t="shared" si="13"/>
        <v>180</v>
      </c>
      <c r="I272" s="4">
        <v>3255.4681845650744</v>
      </c>
      <c r="L272" s="8"/>
      <c r="M272" s="9"/>
      <c r="N272" s="9"/>
      <c r="O272" s="9"/>
      <c r="P272" s="9"/>
      <c r="Q272" s="10"/>
    </row>
    <row r="273" spans="1:17" x14ac:dyDescent="0.3">
      <c r="A273" s="1">
        <f t="shared" si="14"/>
        <v>272</v>
      </c>
      <c r="B273" s="2" t="s">
        <v>306</v>
      </c>
      <c r="C273" s="1" t="s">
        <v>302</v>
      </c>
      <c r="D273" s="1" t="s">
        <v>12</v>
      </c>
      <c r="E273" s="3">
        <v>42856</v>
      </c>
      <c r="F273" s="3">
        <f t="shared" si="15"/>
        <v>45382</v>
      </c>
      <c r="G273" s="4">
        <v>56000</v>
      </c>
      <c r="H273" s="1">
        <f t="shared" si="13"/>
        <v>180</v>
      </c>
      <c r="I273" s="4">
        <v>21144.490915208295</v>
      </c>
      <c r="L273" s="8"/>
      <c r="M273" s="9"/>
      <c r="N273" s="9"/>
      <c r="O273" s="9"/>
      <c r="P273" s="9"/>
      <c r="Q273" s="10"/>
    </row>
    <row r="274" spans="1:17" x14ac:dyDescent="0.3">
      <c r="A274" s="1">
        <f t="shared" si="14"/>
        <v>273</v>
      </c>
      <c r="B274" s="16" t="s">
        <v>307</v>
      </c>
      <c r="C274" s="1" t="s">
        <v>302</v>
      </c>
      <c r="D274" s="2" t="s">
        <v>308</v>
      </c>
      <c r="E274" s="3">
        <v>42837</v>
      </c>
      <c r="F274" s="3">
        <f t="shared" si="15"/>
        <v>45382</v>
      </c>
      <c r="G274" s="4">
        <v>2864</v>
      </c>
      <c r="H274" s="1">
        <f t="shared" si="13"/>
        <v>180</v>
      </c>
      <c r="I274" s="4">
        <v>1097.2572057706918</v>
      </c>
      <c r="L274" s="8"/>
      <c r="M274" s="9"/>
      <c r="N274" s="9"/>
      <c r="O274" s="9"/>
      <c r="P274" s="9"/>
      <c r="Q274" s="10"/>
    </row>
    <row r="275" spans="1:17" x14ac:dyDescent="0.3">
      <c r="A275" s="1">
        <f t="shared" si="14"/>
        <v>274</v>
      </c>
      <c r="B275" s="16" t="s">
        <v>256</v>
      </c>
      <c r="C275" s="1" t="s">
        <v>302</v>
      </c>
      <c r="D275" s="2" t="s">
        <v>308</v>
      </c>
      <c r="E275" s="3">
        <v>42826</v>
      </c>
      <c r="F275" s="3">
        <f t="shared" si="15"/>
        <v>45382</v>
      </c>
      <c r="G275" s="4">
        <v>10475</v>
      </c>
      <c r="H275" s="1">
        <f t="shared" si="13"/>
        <v>180</v>
      </c>
      <c r="I275" s="4">
        <v>4013.1875804636857</v>
      </c>
      <c r="L275" s="8"/>
      <c r="M275" s="9"/>
      <c r="N275" s="9"/>
      <c r="O275" s="9"/>
      <c r="P275" s="9"/>
      <c r="Q275" s="10"/>
    </row>
    <row r="276" spans="1:17" x14ac:dyDescent="0.3">
      <c r="A276" s="1">
        <f t="shared" si="14"/>
        <v>275</v>
      </c>
      <c r="B276" s="16" t="s">
        <v>309</v>
      </c>
      <c r="C276" s="1" t="s">
        <v>302</v>
      </c>
      <c r="D276" s="2" t="s">
        <v>310</v>
      </c>
      <c r="E276" s="3">
        <v>43070</v>
      </c>
      <c r="F276" s="3">
        <f t="shared" si="15"/>
        <v>45382</v>
      </c>
      <c r="G276" s="4">
        <v>25055</v>
      </c>
      <c r="H276" s="1">
        <f t="shared" si="13"/>
        <v>180</v>
      </c>
      <c r="I276" s="4">
        <v>8492.8941445520559</v>
      </c>
      <c r="L276" s="8"/>
      <c r="M276" s="9"/>
      <c r="N276" s="9"/>
      <c r="O276" s="9"/>
      <c r="P276" s="9"/>
      <c r="Q276" s="10"/>
    </row>
    <row r="277" spans="1:17" x14ac:dyDescent="0.3">
      <c r="A277" s="1">
        <f t="shared" si="14"/>
        <v>276</v>
      </c>
      <c r="B277" s="16" t="s">
        <v>311</v>
      </c>
      <c r="C277" s="1" t="s">
        <v>302</v>
      </c>
      <c r="D277" s="2" t="s">
        <v>310</v>
      </c>
      <c r="E277" s="3">
        <v>43070</v>
      </c>
      <c r="F277" s="3">
        <f t="shared" si="15"/>
        <v>45382</v>
      </c>
      <c r="G277" s="4">
        <v>20108</v>
      </c>
      <c r="H277" s="1">
        <f t="shared" si="13"/>
        <v>180</v>
      </c>
      <c r="I277" s="4">
        <v>6816.0093976712324</v>
      </c>
      <c r="L277" s="8"/>
      <c r="M277" s="9"/>
      <c r="N277" s="9"/>
      <c r="O277" s="9"/>
      <c r="P277" s="9"/>
      <c r="Q277" s="10"/>
    </row>
    <row r="278" spans="1:17" x14ac:dyDescent="0.3">
      <c r="A278" s="1">
        <f t="shared" si="14"/>
        <v>277</v>
      </c>
      <c r="B278" s="2" t="s">
        <v>312</v>
      </c>
      <c r="C278" s="1" t="s">
        <v>302</v>
      </c>
      <c r="D278" s="2" t="s">
        <v>251</v>
      </c>
      <c r="E278" s="3">
        <v>42866</v>
      </c>
      <c r="F278" s="3">
        <f t="shared" si="15"/>
        <v>45382</v>
      </c>
      <c r="G278" s="4">
        <v>21036</v>
      </c>
      <c r="H278" s="1">
        <f t="shared" si="13"/>
        <v>180</v>
      </c>
      <c r="I278" s="4">
        <v>7942.7769802200291</v>
      </c>
      <c r="L278" s="8"/>
      <c r="M278" s="9"/>
      <c r="N278" s="9"/>
      <c r="O278" s="9"/>
      <c r="P278" s="9"/>
      <c r="Q278" s="10"/>
    </row>
    <row r="279" spans="1:17" x14ac:dyDescent="0.3">
      <c r="A279" s="1">
        <f t="shared" si="14"/>
        <v>278</v>
      </c>
      <c r="B279" s="2" t="s">
        <v>313</v>
      </c>
      <c r="C279" s="1" t="s">
        <v>302</v>
      </c>
      <c r="D279" s="2" t="s">
        <v>251</v>
      </c>
      <c r="E279" s="3">
        <v>42958</v>
      </c>
      <c r="F279" s="3">
        <f t="shared" si="15"/>
        <v>45382</v>
      </c>
      <c r="G279" s="4">
        <v>12150</v>
      </c>
      <c r="H279" s="1">
        <f t="shared" si="13"/>
        <v>180</v>
      </c>
      <c r="I279" s="4">
        <v>4386.3809069264989</v>
      </c>
      <c r="L279" s="8"/>
      <c r="M279" s="9"/>
      <c r="N279" s="9"/>
      <c r="O279" s="9"/>
      <c r="P279" s="9"/>
      <c r="Q279" s="10"/>
    </row>
    <row r="280" spans="1:17" x14ac:dyDescent="0.3">
      <c r="A280" s="1">
        <f t="shared" si="14"/>
        <v>279</v>
      </c>
      <c r="B280" s="2" t="s">
        <v>314</v>
      </c>
      <c r="C280" s="1" t="s">
        <v>302</v>
      </c>
      <c r="D280" s="2" t="s">
        <v>251</v>
      </c>
      <c r="E280" s="3">
        <v>42986</v>
      </c>
      <c r="F280" s="3">
        <f t="shared" si="15"/>
        <v>45382</v>
      </c>
      <c r="G280" s="4">
        <v>1474</v>
      </c>
      <c r="H280" s="1">
        <f t="shared" si="13"/>
        <v>180</v>
      </c>
      <c r="I280" s="4">
        <v>524.06375838613008</v>
      </c>
      <c r="L280" s="8"/>
      <c r="M280" s="9"/>
      <c r="N280" s="9"/>
      <c r="O280" s="9"/>
      <c r="P280" s="9"/>
      <c r="Q280" s="10"/>
    </row>
    <row r="281" spans="1:17" x14ac:dyDescent="0.3">
      <c r="A281" s="1">
        <f t="shared" si="14"/>
        <v>280</v>
      </c>
      <c r="B281" s="2" t="s">
        <v>315</v>
      </c>
      <c r="C281" s="1" t="s">
        <v>302</v>
      </c>
      <c r="D281" s="2" t="s">
        <v>251</v>
      </c>
      <c r="E281" s="3">
        <v>43045</v>
      </c>
      <c r="F281" s="3">
        <f t="shared" si="15"/>
        <v>45382</v>
      </c>
      <c r="G281" s="4">
        <v>4881.33</v>
      </c>
      <c r="H281" s="1">
        <f t="shared" si="13"/>
        <v>180</v>
      </c>
      <c r="I281" s="4">
        <v>1681.6848738594158</v>
      </c>
      <c r="L281" s="8"/>
      <c r="M281" s="9"/>
      <c r="N281" s="9"/>
      <c r="O281" s="9"/>
      <c r="P281" s="9"/>
      <c r="Q281" s="10"/>
    </row>
    <row r="282" spans="1:17" x14ac:dyDescent="0.3">
      <c r="A282" s="1">
        <f t="shared" si="14"/>
        <v>281</v>
      </c>
      <c r="B282" s="2" t="s">
        <v>316</v>
      </c>
      <c r="C282" s="1" t="s">
        <v>302</v>
      </c>
      <c r="D282" s="2" t="s">
        <v>12</v>
      </c>
      <c r="E282" s="3">
        <v>43090</v>
      </c>
      <c r="F282" s="3">
        <f t="shared" si="15"/>
        <v>45382</v>
      </c>
      <c r="G282" s="4">
        <v>20622</v>
      </c>
      <c r="H282" s="1">
        <f t="shared" si="13"/>
        <v>180</v>
      </c>
      <c r="I282" s="4">
        <v>6990.2399939713614</v>
      </c>
      <c r="L282" s="8"/>
      <c r="M282" s="9"/>
      <c r="N282" s="9"/>
      <c r="O282" s="9"/>
      <c r="P282" s="9"/>
      <c r="Q282" s="10"/>
    </row>
    <row r="283" spans="1:17" ht="52.8" x14ac:dyDescent="0.3">
      <c r="A283" s="1">
        <f t="shared" si="14"/>
        <v>282</v>
      </c>
      <c r="B283" s="17" t="s">
        <v>317</v>
      </c>
      <c r="C283" s="1" t="s">
        <v>302</v>
      </c>
      <c r="D283" s="2" t="s">
        <v>12</v>
      </c>
      <c r="E283" s="3">
        <v>43092</v>
      </c>
      <c r="F283" s="3">
        <f t="shared" si="15"/>
        <v>45382</v>
      </c>
      <c r="G283" s="4">
        <v>29999</v>
      </c>
      <c r="H283" s="1">
        <f t="shared" si="13"/>
        <v>180</v>
      </c>
      <c r="I283" s="4">
        <v>10168.761981337741</v>
      </c>
      <c r="L283" s="8"/>
      <c r="M283" s="9"/>
      <c r="N283" s="9"/>
      <c r="O283" s="9"/>
      <c r="P283" s="9"/>
      <c r="Q283" s="10"/>
    </row>
    <row r="284" spans="1:17" ht="118.8" x14ac:dyDescent="0.3">
      <c r="A284" s="1">
        <f t="shared" si="14"/>
        <v>283</v>
      </c>
      <c r="B284" s="17" t="s">
        <v>318</v>
      </c>
      <c r="C284" s="1" t="s">
        <v>302</v>
      </c>
      <c r="D284" s="2" t="s">
        <v>19</v>
      </c>
      <c r="E284" s="3">
        <v>43145</v>
      </c>
      <c r="F284" s="3">
        <f t="shared" si="15"/>
        <v>45382</v>
      </c>
      <c r="G284" s="4">
        <v>30912</v>
      </c>
      <c r="H284" s="1">
        <f t="shared" si="13"/>
        <v>180</v>
      </c>
      <c r="I284" s="4">
        <v>10141.037851091394</v>
      </c>
      <c r="L284" s="8"/>
      <c r="M284" s="9"/>
      <c r="N284" s="9"/>
      <c r="O284" s="9"/>
      <c r="P284" s="9"/>
      <c r="Q284" s="10"/>
    </row>
    <row r="285" spans="1:17" x14ac:dyDescent="0.3">
      <c r="A285" s="1">
        <f t="shared" si="14"/>
        <v>284</v>
      </c>
      <c r="B285" s="2" t="s">
        <v>319</v>
      </c>
      <c r="C285" s="1" t="s">
        <v>302</v>
      </c>
      <c r="D285" s="2" t="s">
        <v>19</v>
      </c>
      <c r="E285" s="3">
        <v>43176</v>
      </c>
      <c r="F285" s="3">
        <f t="shared" si="15"/>
        <v>45382</v>
      </c>
      <c r="G285" s="4">
        <v>30800</v>
      </c>
      <c r="H285" s="1">
        <f t="shared" si="13"/>
        <v>180</v>
      </c>
      <c r="I285" s="4">
        <v>9933.4951571369493</v>
      </c>
      <c r="L285" s="8"/>
      <c r="M285" s="9"/>
      <c r="N285" s="9"/>
      <c r="O285" s="9"/>
      <c r="P285" s="9"/>
      <c r="Q285" s="10"/>
    </row>
    <row r="286" spans="1:17" ht="39.6" x14ac:dyDescent="0.3">
      <c r="A286" s="1">
        <f t="shared" si="14"/>
        <v>285</v>
      </c>
      <c r="B286" s="17" t="s">
        <v>320</v>
      </c>
      <c r="C286" s="1" t="s">
        <v>302</v>
      </c>
      <c r="D286" s="2" t="s">
        <v>12</v>
      </c>
      <c r="E286" s="3">
        <v>43190</v>
      </c>
      <c r="F286" s="3">
        <f t="shared" si="15"/>
        <v>45382</v>
      </c>
      <c r="G286" s="4">
        <v>29999</v>
      </c>
      <c r="H286" s="1">
        <f t="shared" si="13"/>
        <v>180</v>
      </c>
      <c r="I286" s="4">
        <v>9675.1597798360817</v>
      </c>
      <c r="L286" s="8"/>
      <c r="M286" s="9"/>
      <c r="N286" s="9"/>
      <c r="O286" s="9"/>
      <c r="P286" s="9"/>
      <c r="Q286" s="10"/>
    </row>
    <row r="287" spans="1:17" x14ac:dyDescent="0.3">
      <c r="A287" s="1">
        <f t="shared" si="14"/>
        <v>286</v>
      </c>
      <c r="B287" s="2" t="s">
        <v>301</v>
      </c>
      <c r="C287" s="1" t="s">
        <v>302</v>
      </c>
      <c r="D287" s="2" t="s">
        <v>321</v>
      </c>
      <c r="E287" s="3">
        <v>42855</v>
      </c>
      <c r="F287" s="3">
        <f t="shared" si="15"/>
        <v>45382</v>
      </c>
      <c r="G287" s="2">
        <v>12232</v>
      </c>
      <c r="H287" s="1">
        <f t="shared" si="13"/>
        <v>180</v>
      </c>
      <c r="I287" s="4">
        <v>4686.3303564899097</v>
      </c>
      <c r="L287" s="8"/>
      <c r="M287" s="9"/>
      <c r="N287" s="9"/>
      <c r="O287" s="9"/>
      <c r="P287" s="9"/>
      <c r="Q287" s="10"/>
    </row>
    <row r="288" spans="1:17" x14ac:dyDescent="0.3">
      <c r="A288" s="1">
        <f t="shared" si="14"/>
        <v>287</v>
      </c>
      <c r="B288" s="2" t="s">
        <v>301</v>
      </c>
      <c r="C288" s="1" t="s">
        <v>302</v>
      </c>
      <c r="D288" s="2" t="s">
        <v>321</v>
      </c>
      <c r="E288" s="3">
        <v>42855</v>
      </c>
      <c r="F288" s="3">
        <f t="shared" si="15"/>
        <v>45382</v>
      </c>
      <c r="G288" s="2">
        <v>422000</v>
      </c>
      <c r="H288" s="1">
        <f t="shared" si="13"/>
        <v>180</v>
      </c>
      <c r="I288" s="4">
        <v>161676.86481677092</v>
      </c>
      <c r="L288" s="8"/>
      <c r="M288" s="9"/>
      <c r="N288" s="9"/>
      <c r="O288" s="9"/>
      <c r="P288" s="9"/>
      <c r="Q288" s="10"/>
    </row>
    <row r="289" spans="1:17" x14ac:dyDescent="0.3">
      <c r="A289" s="1">
        <f t="shared" si="14"/>
        <v>288</v>
      </c>
      <c r="B289" s="2" t="s">
        <v>301</v>
      </c>
      <c r="C289" s="1" t="s">
        <v>302</v>
      </c>
      <c r="D289" s="2" t="s">
        <v>321</v>
      </c>
      <c r="E289" s="3">
        <v>42855</v>
      </c>
      <c r="F289" s="3">
        <f t="shared" si="15"/>
        <v>45382</v>
      </c>
      <c r="G289" s="4">
        <v>398194</v>
      </c>
      <c r="H289" s="1">
        <f t="shared" si="13"/>
        <v>180</v>
      </c>
      <c r="I289" s="4">
        <v>152556.29741433478</v>
      </c>
      <c r="L289" s="8"/>
      <c r="M289" s="9"/>
      <c r="N289" s="9"/>
      <c r="O289" s="9"/>
      <c r="P289" s="9"/>
      <c r="Q289" s="10"/>
    </row>
    <row r="290" spans="1:17" x14ac:dyDescent="0.3">
      <c r="A290" s="1">
        <f t="shared" si="14"/>
        <v>289</v>
      </c>
      <c r="B290" s="2" t="s">
        <v>322</v>
      </c>
      <c r="C290" s="1" t="s">
        <v>302</v>
      </c>
      <c r="D290" s="2" t="s">
        <v>12</v>
      </c>
      <c r="E290" s="3">
        <v>42912</v>
      </c>
      <c r="F290" s="3">
        <f t="shared" si="15"/>
        <v>45382</v>
      </c>
      <c r="G290" s="4">
        <v>4800</v>
      </c>
      <c r="H290" s="1">
        <f t="shared" si="13"/>
        <v>180</v>
      </c>
      <c r="I290" s="4">
        <v>1786.0901655625764</v>
      </c>
      <c r="L290" s="8"/>
      <c r="M290" s="9"/>
      <c r="N290" s="9"/>
      <c r="O290" s="9"/>
      <c r="P290" s="9"/>
      <c r="Q290" s="10"/>
    </row>
    <row r="291" spans="1:17" x14ac:dyDescent="0.3">
      <c r="A291" s="1">
        <f t="shared" si="14"/>
        <v>290</v>
      </c>
      <c r="B291" s="2" t="s">
        <v>323</v>
      </c>
      <c r="C291" s="1" t="s">
        <v>302</v>
      </c>
      <c r="D291" s="2" t="s">
        <v>12</v>
      </c>
      <c r="E291" s="3">
        <v>42978</v>
      </c>
      <c r="F291" s="3">
        <f t="shared" si="15"/>
        <v>45382</v>
      </c>
      <c r="G291" s="4">
        <v>18880</v>
      </c>
      <c r="H291" s="1">
        <f t="shared" si="13"/>
        <v>180</v>
      </c>
      <c r="I291" s="4">
        <v>6816.0388084586248</v>
      </c>
      <c r="L291" s="8"/>
      <c r="M291" s="9"/>
      <c r="N291" s="9"/>
      <c r="O291" s="9"/>
      <c r="P291" s="9"/>
      <c r="Q291" s="10"/>
    </row>
    <row r="292" spans="1:17" x14ac:dyDescent="0.3">
      <c r="A292" s="1">
        <f t="shared" si="14"/>
        <v>291</v>
      </c>
      <c r="B292" s="2" t="s">
        <v>324</v>
      </c>
      <c r="C292" s="1" t="s">
        <v>302</v>
      </c>
      <c r="D292" s="2" t="s">
        <v>12</v>
      </c>
      <c r="E292" s="18">
        <v>43035</v>
      </c>
      <c r="F292" s="3">
        <f t="shared" si="15"/>
        <v>45382</v>
      </c>
      <c r="G292" s="4">
        <v>2400</v>
      </c>
      <c r="H292" s="1">
        <f t="shared" si="13"/>
        <v>180</v>
      </c>
      <c r="I292" s="4">
        <v>857.49038411420247</v>
      </c>
      <c r="L292" s="8"/>
      <c r="M292" s="9"/>
      <c r="N292" s="9"/>
      <c r="O292" s="9"/>
      <c r="P292" s="9"/>
      <c r="Q292" s="10"/>
    </row>
    <row r="293" spans="1:17" x14ac:dyDescent="0.3">
      <c r="A293" s="1">
        <f t="shared" si="14"/>
        <v>292</v>
      </c>
      <c r="B293" s="19" t="s">
        <v>325</v>
      </c>
      <c r="C293" s="1" t="s">
        <v>326</v>
      </c>
      <c r="D293" s="2" t="s">
        <v>321</v>
      </c>
      <c r="E293" s="18">
        <v>43195</v>
      </c>
      <c r="F293" s="3">
        <f t="shared" si="15"/>
        <v>45382</v>
      </c>
      <c r="G293" s="4">
        <v>28350</v>
      </c>
      <c r="H293" s="1">
        <f t="shared" si="13"/>
        <v>180</v>
      </c>
      <c r="I293" s="4">
        <v>9006.5627588050047</v>
      </c>
      <c r="L293" s="8"/>
      <c r="M293" s="9"/>
      <c r="N293" s="9"/>
      <c r="O293" s="9"/>
      <c r="P293" s="9"/>
      <c r="Q293" s="10"/>
    </row>
    <row r="294" spans="1:17" x14ac:dyDescent="0.3">
      <c r="A294" s="1">
        <f t="shared" si="14"/>
        <v>293</v>
      </c>
      <c r="B294" s="19" t="s">
        <v>327</v>
      </c>
      <c r="C294" s="1" t="s">
        <v>326</v>
      </c>
      <c r="D294" s="2" t="s">
        <v>321</v>
      </c>
      <c r="E294" s="18">
        <v>43201</v>
      </c>
      <c r="F294" s="3">
        <f t="shared" si="15"/>
        <v>45382</v>
      </c>
      <c r="G294" s="4">
        <v>2121</v>
      </c>
      <c r="H294" s="1">
        <f t="shared" si="13"/>
        <v>180</v>
      </c>
      <c r="I294" s="4">
        <v>673.82432491800409</v>
      </c>
      <c r="L294" s="8"/>
      <c r="M294" s="9"/>
      <c r="N294" s="9"/>
      <c r="O294" s="9"/>
      <c r="P294" s="9"/>
      <c r="Q294" s="10"/>
    </row>
    <row r="295" spans="1:17" x14ac:dyDescent="0.3">
      <c r="A295" s="1">
        <f t="shared" si="14"/>
        <v>294</v>
      </c>
      <c r="B295" s="19" t="s">
        <v>328</v>
      </c>
      <c r="C295" s="1" t="s">
        <v>326</v>
      </c>
      <c r="D295" s="2" t="s">
        <v>321</v>
      </c>
      <c r="E295" s="18">
        <v>43201</v>
      </c>
      <c r="F295" s="3">
        <f t="shared" si="15"/>
        <v>45382</v>
      </c>
      <c r="G295" s="4">
        <v>8243</v>
      </c>
      <c r="H295" s="1">
        <f t="shared" si="13"/>
        <v>180</v>
      </c>
      <c r="I295" s="4">
        <v>2618.733573926972</v>
      </c>
      <c r="L295" s="8"/>
      <c r="M295" s="9"/>
      <c r="N295" s="9"/>
      <c r="O295" s="9"/>
      <c r="P295" s="9"/>
      <c r="Q295" s="10"/>
    </row>
    <row r="296" spans="1:17" x14ac:dyDescent="0.3">
      <c r="A296" s="1">
        <f t="shared" si="14"/>
        <v>295</v>
      </c>
      <c r="B296" s="19" t="s">
        <v>329</v>
      </c>
      <c r="C296" s="1" t="s">
        <v>326</v>
      </c>
      <c r="D296" s="2" t="s">
        <v>321</v>
      </c>
      <c r="E296" s="18">
        <v>43203</v>
      </c>
      <c r="F296" s="3">
        <f t="shared" si="15"/>
        <v>45382</v>
      </c>
      <c r="G296" s="4">
        <v>4455</v>
      </c>
      <c r="H296" s="1">
        <f t="shared" si="13"/>
        <v>180</v>
      </c>
      <c r="I296" s="4">
        <v>1415.3170049550722</v>
      </c>
      <c r="L296" s="8"/>
      <c r="M296" s="9"/>
      <c r="N296" s="9"/>
      <c r="O296" s="9"/>
      <c r="P296" s="9"/>
      <c r="Q296" s="10"/>
    </row>
    <row r="297" spans="1:17" x14ac:dyDescent="0.3">
      <c r="A297" s="1">
        <f t="shared" si="14"/>
        <v>296</v>
      </c>
      <c r="B297" s="19" t="s">
        <v>330</v>
      </c>
      <c r="C297" s="1" t="s">
        <v>326</v>
      </c>
      <c r="D297" s="2" t="s">
        <v>321</v>
      </c>
      <c r="E297" s="18">
        <v>43205</v>
      </c>
      <c r="F297" s="3">
        <f t="shared" si="15"/>
        <v>45382</v>
      </c>
      <c r="G297" s="4">
        <v>480982</v>
      </c>
      <c r="H297" s="1">
        <f t="shared" si="13"/>
        <v>180</v>
      </c>
      <c r="I297" s="4">
        <v>152804.04122947261</v>
      </c>
      <c r="L297" s="8"/>
      <c r="M297" s="9"/>
      <c r="N297" s="9"/>
      <c r="O297" s="9"/>
      <c r="P297" s="9"/>
      <c r="Q297" s="10"/>
    </row>
    <row r="298" spans="1:17" x14ac:dyDescent="0.3">
      <c r="A298" s="1">
        <f t="shared" si="14"/>
        <v>297</v>
      </c>
      <c r="B298" s="19" t="s">
        <v>331</v>
      </c>
      <c r="C298" s="1" t="s">
        <v>326</v>
      </c>
      <c r="D298" s="2" t="s">
        <v>321</v>
      </c>
      <c r="E298" s="18">
        <v>43209</v>
      </c>
      <c r="F298" s="3">
        <f t="shared" si="15"/>
        <v>45382</v>
      </c>
      <c r="G298" s="4">
        <v>300</v>
      </c>
      <c r="H298" s="1">
        <f t="shared" si="13"/>
        <v>180</v>
      </c>
      <c r="I298" s="4">
        <v>95.307542421216993</v>
      </c>
      <c r="L298" s="8"/>
      <c r="M298" s="9"/>
      <c r="N298" s="9"/>
      <c r="O298" s="9"/>
      <c r="P298" s="9"/>
      <c r="Q298" s="10"/>
    </row>
    <row r="299" spans="1:17" x14ac:dyDescent="0.3">
      <c r="A299" s="1">
        <f t="shared" si="14"/>
        <v>298</v>
      </c>
      <c r="B299" s="19" t="s">
        <v>332</v>
      </c>
      <c r="C299" s="1" t="s">
        <v>326</v>
      </c>
      <c r="D299" s="2" t="s">
        <v>321</v>
      </c>
      <c r="E299" s="18">
        <v>43210</v>
      </c>
      <c r="F299" s="3">
        <f t="shared" si="15"/>
        <v>45382</v>
      </c>
      <c r="G299" s="4">
        <v>55575</v>
      </c>
      <c r="H299" s="1">
        <f t="shared" si="13"/>
        <v>180</v>
      </c>
      <c r="I299" s="4">
        <v>17655.722233530447</v>
      </c>
      <c r="L299" s="8"/>
      <c r="M299" s="9"/>
      <c r="N299" s="9"/>
      <c r="O299" s="9"/>
      <c r="P299" s="9"/>
      <c r="Q299" s="10"/>
    </row>
    <row r="300" spans="1:17" x14ac:dyDescent="0.3">
      <c r="A300" s="1">
        <f t="shared" si="14"/>
        <v>299</v>
      </c>
      <c r="B300" s="19" t="s">
        <v>333</v>
      </c>
      <c r="C300" s="1" t="s">
        <v>326</v>
      </c>
      <c r="D300" s="2" t="s">
        <v>321</v>
      </c>
      <c r="E300" s="18">
        <v>43213</v>
      </c>
      <c r="F300" s="3">
        <f t="shared" si="15"/>
        <v>45382</v>
      </c>
      <c r="G300" s="4">
        <v>6675</v>
      </c>
      <c r="H300" s="1">
        <f t="shared" si="13"/>
        <v>180</v>
      </c>
      <c r="I300" s="4">
        <v>2120.5928188720777</v>
      </c>
      <c r="L300" s="8"/>
      <c r="M300" s="9"/>
      <c r="N300" s="9"/>
      <c r="O300" s="9"/>
      <c r="P300" s="9"/>
      <c r="Q300" s="10"/>
    </row>
    <row r="301" spans="1:17" x14ac:dyDescent="0.3">
      <c r="A301" s="1">
        <f t="shared" si="14"/>
        <v>300</v>
      </c>
      <c r="B301" s="19" t="s">
        <v>334</v>
      </c>
      <c r="C301" s="1" t="s">
        <v>326</v>
      </c>
      <c r="D301" s="2" t="s">
        <v>321</v>
      </c>
      <c r="E301" s="18">
        <v>43216</v>
      </c>
      <c r="F301" s="3">
        <f t="shared" si="15"/>
        <v>45382</v>
      </c>
      <c r="G301" s="4">
        <v>4450</v>
      </c>
      <c r="H301" s="1">
        <f t="shared" si="13"/>
        <v>180</v>
      </c>
      <c r="I301" s="4">
        <v>1413.7285459147186</v>
      </c>
      <c r="L301" s="8"/>
      <c r="M301" s="9"/>
      <c r="N301" s="9"/>
      <c r="O301" s="9"/>
      <c r="P301" s="9"/>
      <c r="Q301" s="10"/>
    </row>
    <row r="302" spans="1:17" x14ac:dyDescent="0.3">
      <c r="A302" s="1">
        <f t="shared" si="14"/>
        <v>301</v>
      </c>
      <c r="B302" s="19" t="s">
        <v>335</v>
      </c>
      <c r="C302" s="1" t="s">
        <v>326</v>
      </c>
      <c r="D302" s="2" t="s">
        <v>321</v>
      </c>
      <c r="E302" s="18">
        <v>43221</v>
      </c>
      <c r="F302" s="3">
        <f t="shared" si="15"/>
        <v>45382</v>
      </c>
      <c r="G302" s="4">
        <v>512920</v>
      </c>
      <c r="H302" s="1">
        <f t="shared" si="13"/>
        <v>180</v>
      </c>
      <c r="I302" s="4">
        <v>160042.91417292238</v>
      </c>
      <c r="L302" s="8"/>
      <c r="M302" s="9"/>
      <c r="N302" s="9"/>
      <c r="O302" s="9"/>
      <c r="P302" s="9"/>
      <c r="Q302" s="10"/>
    </row>
    <row r="303" spans="1:17" x14ac:dyDescent="0.3">
      <c r="A303" s="1">
        <f t="shared" si="14"/>
        <v>302</v>
      </c>
      <c r="B303" s="19" t="s">
        <v>336</v>
      </c>
      <c r="C303" s="1" t="s">
        <v>326</v>
      </c>
      <c r="D303" s="2" t="s">
        <v>321</v>
      </c>
      <c r="E303" s="18">
        <v>43238</v>
      </c>
      <c r="F303" s="3">
        <f t="shared" si="15"/>
        <v>45382</v>
      </c>
      <c r="G303" s="4">
        <v>11484</v>
      </c>
      <c r="H303" s="1">
        <f t="shared" ref="H303:H366" si="16">15*12</f>
        <v>180</v>
      </c>
      <c r="I303" s="4">
        <v>3583.2738562774716</v>
      </c>
      <c r="L303" s="8"/>
      <c r="M303" s="9"/>
      <c r="N303" s="9"/>
      <c r="O303" s="9"/>
      <c r="P303" s="9"/>
      <c r="Q303" s="10"/>
    </row>
    <row r="304" spans="1:17" x14ac:dyDescent="0.3">
      <c r="A304" s="1">
        <f t="shared" si="14"/>
        <v>303</v>
      </c>
      <c r="B304" s="19" t="s">
        <v>337</v>
      </c>
      <c r="C304" s="1" t="s">
        <v>326</v>
      </c>
      <c r="D304" s="2" t="s">
        <v>321</v>
      </c>
      <c r="E304" s="18">
        <v>43238</v>
      </c>
      <c r="F304" s="3">
        <f t="shared" si="15"/>
        <v>45382</v>
      </c>
      <c r="G304" s="4">
        <v>10530</v>
      </c>
      <c r="H304" s="1">
        <f t="shared" si="16"/>
        <v>180</v>
      </c>
      <c r="I304" s="4">
        <v>3285.6037710381206</v>
      </c>
      <c r="L304" s="8"/>
      <c r="M304" s="9"/>
      <c r="N304" s="9"/>
      <c r="O304" s="9"/>
      <c r="P304" s="9"/>
      <c r="Q304" s="10"/>
    </row>
    <row r="305" spans="1:17" x14ac:dyDescent="0.3">
      <c r="A305" s="1">
        <f t="shared" si="14"/>
        <v>304</v>
      </c>
      <c r="B305" s="19" t="s">
        <v>338</v>
      </c>
      <c r="C305" s="1" t="s">
        <v>326</v>
      </c>
      <c r="D305" s="2" t="s">
        <v>321</v>
      </c>
      <c r="E305" s="18">
        <v>43245</v>
      </c>
      <c r="F305" s="3">
        <f t="shared" si="15"/>
        <v>45382</v>
      </c>
      <c r="G305" s="4">
        <v>1437535</v>
      </c>
      <c r="H305" s="1">
        <f t="shared" si="16"/>
        <v>180</v>
      </c>
      <c r="I305" s="4">
        <v>448544.19914523116</v>
      </c>
      <c r="L305" s="8"/>
      <c r="M305" s="9"/>
      <c r="N305" s="9"/>
      <c r="O305" s="9"/>
      <c r="P305" s="9"/>
      <c r="Q305" s="10"/>
    </row>
    <row r="306" spans="1:17" x14ac:dyDescent="0.3">
      <c r="A306" s="1">
        <f t="shared" si="14"/>
        <v>305</v>
      </c>
      <c r="B306" s="19" t="s">
        <v>339</v>
      </c>
      <c r="C306" s="1" t="s">
        <v>326</v>
      </c>
      <c r="D306" s="2" t="s">
        <v>321</v>
      </c>
      <c r="E306" s="18">
        <v>43246</v>
      </c>
      <c r="F306" s="3">
        <f t="shared" si="15"/>
        <v>45382</v>
      </c>
      <c r="G306" s="4">
        <v>3586</v>
      </c>
      <c r="H306" s="1">
        <f t="shared" si="16"/>
        <v>180</v>
      </c>
      <c r="I306" s="4">
        <v>1118.9150164238081</v>
      </c>
      <c r="L306" s="8"/>
      <c r="M306" s="9"/>
      <c r="N306" s="9"/>
      <c r="O306" s="9"/>
      <c r="P306" s="9"/>
      <c r="Q306" s="10"/>
    </row>
    <row r="307" spans="1:17" x14ac:dyDescent="0.3">
      <c r="A307" s="1">
        <f t="shared" si="14"/>
        <v>306</v>
      </c>
      <c r="B307" s="19" t="s">
        <v>340</v>
      </c>
      <c r="C307" s="1" t="s">
        <v>326</v>
      </c>
      <c r="D307" s="2" t="s">
        <v>321</v>
      </c>
      <c r="E307" s="18">
        <v>43253</v>
      </c>
      <c r="F307" s="3">
        <f t="shared" si="15"/>
        <v>45382</v>
      </c>
      <c r="G307" s="4">
        <v>890</v>
      </c>
      <c r="H307" s="1">
        <f t="shared" si="16"/>
        <v>180</v>
      </c>
      <c r="I307" s="4">
        <v>272.81744891751623</v>
      </c>
      <c r="L307" s="8"/>
      <c r="M307" s="9"/>
      <c r="N307" s="9"/>
      <c r="O307" s="9"/>
      <c r="P307" s="9"/>
      <c r="Q307" s="10"/>
    </row>
    <row r="308" spans="1:17" x14ac:dyDescent="0.3">
      <c r="A308" s="1">
        <f t="shared" si="14"/>
        <v>307</v>
      </c>
      <c r="B308" s="19" t="s">
        <v>341</v>
      </c>
      <c r="C308" s="1" t="s">
        <v>326</v>
      </c>
      <c r="D308" s="2" t="s">
        <v>321</v>
      </c>
      <c r="E308" s="18">
        <v>43254</v>
      </c>
      <c r="F308" s="3">
        <f t="shared" si="15"/>
        <v>45382</v>
      </c>
      <c r="G308" s="4">
        <v>485290</v>
      </c>
      <c r="H308" s="1">
        <f t="shared" si="16"/>
        <v>180</v>
      </c>
      <c r="I308" s="4">
        <v>148759.07841031626</v>
      </c>
      <c r="L308" s="8"/>
      <c r="M308" s="9"/>
      <c r="N308" s="9"/>
      <c r="O308" s="9"/>
      <c r="P308" s="9"/>
      <c r="Q308" s="10"/>
    </row>
    <row r="309" spans="1:17" x14ac:dyDescent="0.3">
      <c r="A309" s="1">
        <f t="shared" si="14"/>
        <v>308</v>
      </c>
      <c r="B309" s="19" t="s">
        <v>342</v>
      </c>
      <c r="C309" s="1" t="s">
        <v>326</v>
      </c>
      <c r="D309" s="2" t="s">
        <v>321</v>
      </c>
      <c r="E309" s="18">
        <v>43260</v>
      </c>
      <c r="F309" s="3">
        <f t="shared" si="15"/>
        <v>45382</v>
      </c>
      <c r="G309" s="4">
        <v>63956</v>
      </c>
      <c r="H309" s="1">
        <f t="shared" si="16"/>
        <v>180</v>
      </c>
      <c r="I309" s="4">
        <v>19604.845801088391</v>
      </c>
      <c r="L309" s="8"/>
      <c r="M309" s="9"/>
      <c r="N309" s="9"/>
      <c r="O309" s="9"/>
      <c r="P309" s="9"/>
      <c r="Q309" s="10"/>
    </row>
    <row r="310" spans="1:17" x14ac:dyDescent="0.3">
      <c r="A310" s="1">
        <f t="shared" si="14"/>
        <v>309</v>
      </c>
      <c r="B310" s="19" t="s">
        <v>343</v>
      </c>
      <c r="C310" s="1" t="s">
        <v>326</v>
      </c>
      <c r="D310" s="2" t="s">
        <v>321</v>
      </c>
      <c r="E310" s="18">
        <v>43263</v>
      </c>
      <c r="F310" s="3">
        <f t="shared" si="15"/>
        <v>45382</v>
      </c>
      <c r="G310" s="4">
        <v>21672</v>
      </c>
      <c r="H310" s="1">
        <f t="shared" si="16"/>
        <v>180</v>
      </c>
      <c r="I310" s="4">
        <v>6643.2581493712496</v>
      </c>
      <c r="L310" s="8"/>
      <c r="M310" s="9"/>
      <c r="N310" s="9"/>
      <c r="O310" s="9"/>
      <c r="P310" s="9"/>
      <c r="Q310" s="10"/>
    </row>
    <row r="311" spans="1:17" x14ac:dyDescent="0.3">
      <c r="A311" s="1">
        <f t="shared" si="14"/>
        <v>310</v>
      </c>
      <c r="B311" s="19" t="s">
        <v>344</v>
      </c>
      <c r="C311" s="1" t="s">
        <v>326</v>
      </c>
      <c r="D311" s="2" t="s">
        <v>321</v>
      </c>
      <c r="E311" s="18">
        <v>43266</v>
      </c>
      <c r="F311" s="3">
        <f t="shared" si="15"/>
        <v>45382</v>
      </c>
      <c r="G311" s="4">
        <v>4400</v>
      </c>
      <c r="H311" s="1">
        <f t="shared" si="16"/>
        <v>180</v>
      </c>
      <c r="I311" s="4">
        <v>1348.7604216146874</v>
      </c>
      <c r="L311" s="8"/>
      <c r="M311" s="9"/>
      <c r="N311" s="9"/>
      <c r="O311" s="9"/>
      <c r="P311" s="9"/>
      <c r="Q311" s="10"/>
    </row>
    <row r="312" spans="1:17" x14ac:dyDescent="0.3">
      <c r="A312" s="1">
        <f t="shared" si="14"/>
        <v>311</v>
      </c>
      <c r="B312" s="19" t="s">
        <v>345</v>
      </c>
      <c r="C312" s="1" t="s">
        <v>326</v>
      </c>
      <c r="D312" s="2" t="s">
        <v>321</v>
      </c>
      <c r="E312" s="18">
        <v>43271</v>
      </c>
      <c r="F312" s="3">
        <f t="shared" si="15"/>
        <v>45382</v>
      </c>
      <c r="G312" s="4">
        <v>5607</v>
      </c>
      <c r="H312" s="1">
        <f t="shared" si="16"/>
        <v>180</v>
      </c>
      <c r="I312" s="4">
        <v>1718.7499281803523</v>
      </c>
      <c r="L312" s="8"/>
      <c r="M312" s="9"/>
      <c r="N312" s="9"/>
      <c r="O312" s="9"/>
      <c r="P312" s="9"/>
      <c r="Q312" s="10"/>
    </row>
    <row r="313" spans="1:17" x14ac:dyDescent="0.3">
      <c r="A313" s="1">
        <f t="shared" si="14"/>
        <v>312</v>
      </c>
      <c r="B313" s="19" t="s">
        <v>346</v>
      </c>
      <c r="C313" s="1" t="s">
        <v>326</v>
      </c>
      <c r="D313" s="2" t="s">
        <v>321</v>
      </c>
      <c r="E313" s="18">
        <v>43285</v>
      </c>
      <c r="F313" s="3">
        <f t="shared" si="15"/>
        <v>45382</v>
      </c>
      <c r="G313" s="4">
        <v>53479</v>
      </c>
      <c r="H313" s="1">
        <f t="shared" si="16"/>
        <v>180</v>
      </c>
      <c r="I313" s="4">
        <v>16090.011440226637</v>
      </c>
      <c r="L313" s="8"/>
      <c r="M313" s="9"/>
      <c r="N313" s="9"/>
      <c r="O313" s="9"/>
      <c r="P313" s="9"/>
      <c r="Q313" s="10"/>
    </row>
    <row r="314" spans="1:17" x14ac:dyDescent="0.3">
      <c r="A314" s="1">
        <f t="shared" si="14"/>
        <v>313</v>
      </c>
      <c r="B314" s="19" t="s">
        <v>347</v>
      </c>
      <c r="C314" s="1" t="s">
        <v>326</v>
      </c>
      <c r="D314" s="2" t="s">
        <v>321</v>
      </c>
      <c r="E314" s="18">
        <v>43297</v>
      </c>
      <c r="F314" s="3">
        <f t="shared" si="15"/>
        <v>45382</v>
      </c>
      <c r="G314" s="4">
        <v>720</v>
      </c>
      <c r="H314" s="1">
        <f t="shared" si="16"/>
        <v>180</v>
      </c>
      <c r="I314" s="4">
        <v>216.62350150457524</v>
      </c>
      <c r="L314" s="8"/>
      <c r="M314" s="9"/>
      <c r="N314" s="9"/>
      <c r="O314" s="9"/>
      <c r="P314" s="9"/>
      <c r="Q314" s="10"/>
    </row>
    <row r="315" spans="1:17" x14ac:dyDescent="0.3">
      <c r="A315" s="1">
        <f t="shared" si="14"/>
        <v>314</v>
      </c>
      <c r="B315" s="19" t="s">
        <v>348</v>
      </c>
      <c r="C315" s="1" t="s">
        <v>326</v>
      </c>
      <c r="D315" s="2" t="s">
        <v>321</v>
      </c>
      <c r="E315" s="18">
        <v>43298</v>
      </c>
      <c r="F315" s="3">
        <f t="shared" si="15"/>
        <v>45382</v>
      </c>
      <c r="G315" s="4">
        <v>1200</v>
      </c>
      <c r="H315" s="1">
        <f t="shared" si="16"/>
        <v>180</v>
      </c>
      <c r="I315" s="4">
        <v>361.03916917429206</v>
      </c>
      <c r="L315" s="8"/>
      <c r="M315" s="9"/>
      <c r="N315" s="9"/>
      <c r="O315" s="9"/>
      <c r="P315" s="9"/>
      <c r="Q315" s="10"/>
    </row>
    <row r="316" spans="1:17" x14ac:dyDescent="0.3">
      <c r="A316" s="1">
        <f t="shared" si="14"/>
        <v>315</v>
      </c>
      <c r="B316" s="19" t="s">
        <v>349</v>
      </c>
      <c r="C316" s="1" t="s">
        <v>326</v>
      </c>
      <c r="D316" s="2" t="s">
        <v>321</v>
      </c>
      <c r="E316" s="18">
        <v>43299</v>
      </c>
      <c r="F316" s="3">
        <f t="shared" si="15"/>
        <v>45382</v>
      </c>
      <c r="G316" s="4">
        <v>17154</v>
      </c>
      <c r="H316" s="1">
        <f t="shared" si="16"/>
        <v>180</v>
      </c>
      <c r="I316" s="4">
        <v>5161.0549233465044</v>
      </c>
      <c r="L316" s="8"/>
      <c r="M316" s="9"/>
      <c r="N316" s="9"/>
      <c r="O316" s="9"/>
      <c r="P316" s="9"/>
      <c r="Q316" s="10"/>
    </row>
    <row r="317" spans="1:17" x14ac:dyDescent="0.3">
      <c r="A317" s="1">
        <f t="shared" si="14"/>
        <v>316</v>
      </c>
      <c r="B317" s="19" t="s">
        <v>350</v>
      </c>
      <c r="C317" s="1" t="s">
        <v>326</v>
      </c>
      <c r="D317" s="2" t="s">
        <v>321</v>
      </c>
      <c r="E317" s="18">
        <v>43301</v>
      </c>
      <c r="F317" s="3">
        <f t="shared" si="15"/>
        <v>45382</v>
      </c>
      <c r="G317" s="4">
        <v>7840</v>
      </c>
      <c r="H317" s="1">
        <f t="shared" si="16"/>
        <v>180</v>
      </c>
      <c r="I317" s="4">
        <v>2358.7892386053745</v>
      </c>
      <c r="L317" s="8"/>
      <c r="M317" s="9"/>
      <c r="N317" s="9"/>
      <c r="O317" s="9"/>
      <c r="P317" s="9"/>
      <c r="Q317" s="10"/>
    </row>
    <row r="318" spans="1:17" x14ac:dyDescent="0.3">
      <c r="A318" s="1">
        <f t="shared" si="14"/>
        <v>317</v>
      </c>
      <c r="B318" s="19" t="s">
        <v>351</v>
      </c>
      <c r="C318" s="1" t="s">
        <v>326</v>
      </c>
      <c r="D318" s="2" t="s">
        <v>321</v>
      </c>
      <c r="E318" s="18">
        <v>43302</v>
      </c>
      <c r="F318" s="3">
        <f t="shared" si="15"/>
        <v>45382</v>
      </c>
      <c r="G318" s="4">
        <v>7670</v>
      </c>
      <c r="H318" s="1">
        <f t="shared" si="16"/>
        <v>180</v>
      </c>
      <c r="I318" s="4">
        <v>2307.6420229723503</v>
      </c>
      <c r="L318" s="8"/>
      <c r="M318" s="9"/>
      <c r="N318" s="9"/>
      <c r="O318" s="9"/>
      <c r="P318" s="9"/>
      <c r="Q318" s="10"/>
    </row>
    <row r="319" spans="1:17" x14ac:dyDescent="0.3">
      <c r="A319" s="1">
        <f t="shared" si="14"/>
        <v>318</v>
      </c>
      <c r="B319" s="19" t="s">
        <v>352</v>
      </c>
      <c r="C319" s="1" t="s">
        <v>326</v>
      </c>
      <c r="D319" s="2" t="s">
        <v>321</v>
      </c>
      <c r="E319" s="18">
        <v>43302</v>
      </c>
      <c r="F319" s="3">
        <f t="shared" si="15"/>
        <v>45382</v>
      </c>
      <c r="G319" s="4">
        <v>1200</v>
      </c>
      <c r="H319" s="1">
        <f t="shared" si="16"/>
        <v>180</v>
      </c>
      <c r="I319" s="4">
        <v>361.03916917429206</v>
      </c>
      <c r="L319" s="8"/>
      <c r="M319" s="9"/>
      <c r="N319" s="9"/>
      <c r="O319" s="9"/>
      <c r="P319" s="9"/>
      <c r="Q319" s="10"/>
    </row>
    <row r="320" spans="1:17" x14ac:dyDescent="0.3">
      <c r="A320" s="1">
        <f t="shared" si="14"/>
        <v>319</v>
      </c>
      <c r="B320" s="19" t="s">
        <v>353</v>
      </c>
      <c r="C320" s="1" t="s">
        <v>326</v>
      </c>
      <c r="D320" s="2" t="s">
        <v>321</v>
      </c>
      <c r="E320" s="18">
        <v>43305</v>
      </c>
      <c r="F320" s="3">
        <f t="shared" si="15"/>
        <v>45382</v>
      </c>
      <c r="G320" s="4">
        <v>15380</v>
      </c>
      <c r="H320" s="1">
        <f t="shared" si="16"/>
        <v>180</v>
      </c>
      <c r="I320" s="4">
        <v>4627.3186849171761</v>
      </c>
      <c r="L320" s="8"/>
      <c r="M320" s="9"/>
      <c r="N320" s="9"/>
      <c r="O320" s="9"/>
      <c r="P320" s="9"/>
      <c r="Q320" s="10"/>
    </row>
    <row r="321" spans="1:17" x14ac:dyDescent="0.3">
      <c r="A321" s="1">
        <f t="shared" si="14"/>
        <v>320</v>
      </c>
      <c r="B321" s="19" t="s">
        <v>354</v>
      </c>
      <c r="C321" s="1" t="s">
        <v>326</v>
      </c>
      <c r="D321" s="2" t="s">
        <v>321</v>
      </c>
      <c r="E321" s="18">
        <v>43305</v>
      </c>
      <c r="F321" s="3">
        <f t="shared" si="15"/>
        <v>45382</v>
      </c>
      <c r="G321" s="4">
        <v>21604</v>
      </c>
      <c r="H321" s="1">
        <f t="shared" si="16"/>
        <v>180</v>
      </c>
      <c r="I321" s="4">
        <v>6499.9085090345043</v>
      </c>
      <c r="L321" s="8"/>
      <c r="M321" s="9"/>
      <c r="N321" s="9"/>
      <c r="O321" s="9"/>
      <c r="P321" s="9"/>
      <c r="Q321" s="10"/>
    </row>
    <row r="322" spans="1:17" x14ac:dyDescent="0.3">
      <c r="A322" s="1">
        <f t="shared" si="14"/>
        <v>321</v>
      </c>
      <c r="B322" s="19" t="s">
        <v>355</v>
      </c>
      <c r="C322" s="1" t="s">
        <v>326</v>
      </c>
      <c r="D322" s="2" t="s">
        <v>321</v>
      </c>
      <c r="E322" s="18">
        <v>43307</v>
      </c>
      <c r="F322" s="3">
        <f t="shared" si="15"/>
        <v>45382</v>
      </c>
      <c r="G322" s="4">
        <v>22060</v>
      </c>
      <c r="H322" s="1">
        <f t="shared" si="16"/>
        <v>180</v>
      </c>
      <c r="I322" s="4">
        <v>6637.1033933207354</v>
      </c>
      <c r="L322" s="8"/>
      <c r="M322" s="9"/>
      <c r="N322" s="9"/>
      <c r="O322" s="9"/>
      <c r="P322" s="9"/>
      <c r="Q322" s="10"/>
    </row>
    <row r="323" spans="1:17" x14ac:dyDescent="0.3">
      <c r="A323" s="1">
        <f t="shared" ref="A323:A386" si="17">A322+1</f>
        <v>322</v>
      </c>
      <c r="B323" s="19" t="s">
        <v>356</v>
      </c>
      <c r="C323" s="1" t="s">
        <v>326</v>
      </c>
      <c r="D323" s="2" t="s">
        <v>321</v>
      </c>
      <c r="E323" s="18">
        <v>43311</v>
      </c>
      <c r="F323" s="3">
        <f t="shared" si="15"/>
        <v>45382</v>
      </c>
      <c r="G323" s="4">
        <v>200600</v>
      </c>
      <c r="H323" s="1">
        <f t="shared" si="16"/>
        <v>180</v>
      </c>
      <c r="I323" s="4">
        <v>60353.714446969156</v>
      </c>
      <c r="L323" s="8"/>
      <c r="M323" s="9"/>
      <c r="N323" s="9"/>
      <c r="O323" s="9"/>
      <c r="P323" s="9"/>
      <c r="Q323" s="10"/>
    </row>
    <row r="324" spans="1:17" x14ac:dyDescent="0.3">
      <c r="A324" s="1">
        <f t="shared" si="17"/>
        <v>323</v>
      </c>
      <c r="B324" s="19" t="s">
        <v>357</v>
      </c>
      <c r="C324" s="1" t="s">
        <v>326</v>
      </c>
      <c r="D324" s="2" t="s">
        <v>321</v>
      </c>
      <c r="E324" s="18">
        <v>43314</v>
      </c>
      <c r="F324" s="3">
        <f t="shared" ref="F324:F387" si="18">F323</f>
        <v>45382</v>
      </c>
      <c r="G324" s="4">
        <v>1380</v>
      </c>
      <c r="H324" s="1">
        <f t="shared" si="16"/>
        <v>180</v>
      </c>
      <c r="I324" s="4">
        <v>407.36853017414722</v>
      </c>
      <c r="L324" s="8"/>
      <c r="M324" s="9"/>
      <c r="N324" s="9"/>
      <c r="O324" s="9"/>
      <c r="P324" s="9"/>
      <c r="Q324" s="10"/>
    </row>
    <row r="325" spans="1:17" x14ac:dyDescent="0.3">
      <c r="A325" s="1">
        <f t="shared" si="17"/>
        <v>324</v>
      </c>
      <c r="B325" s="19" t="s">
        <v>358</v>
      </c>
      <c r="C325" s="1" t="s">
        <v>326</v>
      </c>
      <c r="D325" s="2" t="s">
        <v>321</v>
      </c>
      <c r="E325" s="18">
        <v>43315</v>
      </c>
      <c r="F325" s="3">
        <f t="shared" si="18"/>
        <v>45382</v>
      </c>
      <c r="G325" s="4">
        <v>28490</v>
      </c>
      <c r="H325" s="1">
        <f t="shared" si="16"/>
        <v>180</v>
      </c>
      <c r="I325" s="4">
        <v>8410.0937859865626</v>
      </c>
      <c r="L325" s="8"/>
      <c r="M325" s="9"/>
      <c r="N325" s="9"/>
      <c r="O325" s="9"/>
      <c r="P325" s="9"/>
      <c r="Q325" s="10"/>
    </row>
    <row r="326" spans="1:17" x14ac:dyDescent="0.3">
      <c r="A326" s="1">
        <f t="shared" si="17"/>
        <v>325</v>
      </c>
      <c r="B326" s="19" t="s">
        <v>359</v>
      </c>
      <c r="C326" s="1" t="s">
        <v>326</v>
      </c>
      <c r="D326" s="2" t="s">
        <v>321</v>
      </c>
      <c r="E326" s="18">
        <v>43319</v>
      </c>
      <c r="F326" s="3">
        <f t="shared" si="18"/>
        <v>45382</v>
      </c>
      <c r="G326" s="4">
        <v>25000</v>
      </c>
      <c r="H326" s="1">
        <f t="shared" si="16"/>
        <v>180</v>
      </c>
      <c r="I326" s="4">
        <v>7379.8646770678861</v>
      </c>
      <c r="L326" s="8"/>
      <c r="M326" s="9"/>
      <c r="N326" s="9"/>
      <c r="O326" s="9"/>
      <c r="P326" s="9"/>
      <c r="Q326" s="10"/>
    </row>
    <row r="327" spans="1:17" x14ac:dyDescent="0.3">
      <c r="A327" s="1">
        <f t="shared" si="17"/>
        <v>326</v>
      </c>
      <c r="B327" s="19" t="s">
        <v>360</v>
      </c>
      <c r="C327" s="1" t="s">
        <v>326</v>
      </c>
      <c r="D327" s="2" t="s">
        <v>321</v>
      </c>
      <c r="E327" s="18">
        <v>43320</v>
      </c>
      <c r="F327" s="3">
        <f t="shared" si="18"/>
        <v>45382</v>
      </c>
      <c r="G327" s="4">
        <v>17612</v>
      </c>
      <c r="H327" s="1">
        <f t="shared" si="16"/>
        <v>180</v>
      </c>
      <c r="I327" s="4">
        <v>5198.9670677007834</v>
      </c>
      <c r="L327" s="8"/>
      <c r="M327" s="9"/>
      <c r="N327" s="9"/>
      <c r="O327" s="9"/>
      <c r="P327" s="9"/>
      <c r="Q327" s="10"/>
    </row>
    <row r="328" spans="1:17" x14ac:dyDescent="0.3">
      <c r="A328" s="1">
        <f t="shared" si="17"/>
        <v>327</v>
      </c>
      <c r="B328" s="19" t="s">
        <v>361</v>
      </c>
      <c r="C328" s="1" t="s">
        <v>326</v>
      </c>
      <c r="D328" s="2" t="s">
        <v>321</v>
      </c>
      <c r="E328" s="18">
        <v>43320</v>
      </c>
      <c r="F328" s="3">
        <f t="shared" si="18"/>
        <v>45382</v>
      </c>
      <c r="G328" s="4">
        <v>25500</v>
      </c>
      <c r="H328" s="1">
        <f t="shared" si="16"/>
        <v>180</v>
      </c>
      <c r="I328" s="4">
        <v>7527.4619706092426</v>
      </c>
      <c r="L328" s="8"/>
      <c r="M328" s="9"/>
      <c r="N328" s="9"/>
      <c r="O328" s="9"/>
      <c r="P328" s="9"/>
      <c r="Q328" s="10"/>
    </row>
    <row r="329" spans="1:17" x14ac:dyDescent="0.3">
      <c r="A329" s="1">
        <f t="shared" si="17"/>
        <v>328</v>
      </c>
      <c r="B329" s="19" t="s">
        <v>362</v>
      </c>
      <c r="C329" s="1" t="s">
        <v>326</v>
      </c>
      <c r="D329" s="2" t="s">
        <v>321</v>
      </c>
      <c r="E329" s="18">
        <v>43321</v>
      </c>
      <c r="F329" s="3">
        <f t="shared" si="18"/>
        <v>45382</v>
      </c>
      <c r="G329" s="4">
        <v>21830</v>
      </c>
      <c r="H329" s="1">
        <f t="shared" si="16"/>
        <v>180</v>
      </c>
      <c r="I329" s="4">
        <v>6444.0978360156769</v>
      </c>
      <c r="L329" s="8"/>
      <c r="M329" s="9"/>
      <c r="N329" s="9"/>
      <c r="O329" s="9"/>
      <c r="P329" s="9"/>
      <c r="Q329" s="10"/>
    </row>
    <row r="330" spans="1:17" x14ac:dyDescent="0.3">
      <c r="A330" s="1">
        <f t="shared" si="17"/>
        <v>329</v>
      </c>
      <c r="B330" s="19" t="s">
        <v>363</v>
      </c>
      <c r="C330" s="1" t="s">
        <v>326</v>
      </c>
      <c r="D330" s="2" t="s">
        <v>321</v>
      </c>
      <c r="E330" s="18">
        <v>43321</v>
      </c>
      <c r="F330" s="3">
        <f t="shared" si="18"/>
        <v>45382</v>
      </c>
      <c r="G330" s="4">
        <v>3717</v>
      </c>
      <c r="H330" s="1">
        <f t="shared" si="16"/>
        <v>180</v>
      </c>
      <c r="I330" s="4">
        <v>1097.238280186453</v>
      </c>
      <c r="L330" s="8"/>
      <c r="M330" s="9"/>
      <c r="N330" s="9"/>
      <c r="O330" s="9"/>
      <c r="P330" s="9"/>
      <c r="Q330" s="10"/>
    </row>
    <row r="331" spans="1:17" x14ac:dyDescent="0.3">
      <c r="A331" s="1">
        <f t="shared" si="17"/>
        <v>330</v>
      </c>
      <c r="B331" s="19" t="s">
        <v>364</v>
      </c>
      <c r="C331" s="1" t="s">
        <v>326</v>
      </c>
      <c r="D331" s="2" t="s">
        <v>321</v>
      </c>
      <c r="E331" s="18">
        <v>43321</v>
      </c>
      <c r="F331" s="3">
        <f t="shared" si="18"/>
        <v>45382</v>
      </c>
      <c r="G331" s="4">
        <v>11026</v>
      </c>
      <c r="H331" s="1">
        <f t="shared" si="16"/>
        <v>180</v>
      </c>
      <c r="I331" s="4">
        <v>3254.81551717402</v>
      </c>
      <c r="L331" s="8"/>
      <c r="M331" s="9"/>
      <c r="N331" s="9"/>
      <c r="O331" s="9"/>
      <c r="P331" s="9"/>
      <c r="Q331" s="10"/>
    </row>
    <row r="332" spans="1:17" x14ac:dyDescent="0.3">
      <c r="A332" s="1">
        <f t="shared" si="17"/>
        <v>331</v>
      </c>
      <c r="B332" s="19" t="s">
        <v>365</v>
      </c>
      <c r="C332" s="1" t="s">
        <v>326</v>
      </c>
      <c r="D332" s="2" t="s">
        <v>321</v>
      </c>
      <c r="E332" s="18">
        <v>43321</v>
      </c>
      <c r="F332" s="3">
        <f t="shared" si="18"/>
        <v>45382</v>
      </c>
      <c r="G332" s="4">
        <v>3210</v>
      </c>
      <c r="H332" s="1">
        <f t="shared" si="16"/>
        <v>180</v>
      </c>
      <c r="I332" s="4">
        <v>947.57462453551636</v>
      </c>
      <c r="L332" s="8"/>
      <c r="M332" s="9"/>
      <c r="N332" s="9"/>
      <c r="O332" s="9"/>
      <c r="P332" s="9"/>
      <c r="Q332" s="10"/>
    </row>
    <row r="333" spans="1:17" x14ac:dyDescent="0.3">
      <c r="A333" s="1">
        <f t="shared" si="17"/>
        <v>332</v>
      </c>
      <c r="B333" s="19" t="s">
        <v>366</v>
      </c>
      <c r="C333" s="1" t="s">
        <v>326</v>
      </c>
      <c r="D333" s="2" t="s">
        <v>321</v>
      </c>
      <c r="E333" s="18">
        <v>43325</v>
      </c>
      <c r="F333" s="3">
        <f t="shared" si="18"/>
        <v>45382</v>
      </c>
      <c r="G333" s="4">
        <v>72472</v>
      </c>
      <c r="H333" s="1">
        <f t="shared" si="16"/>
        <v>180</v>
      </c>
      <c r="I333" s="4">
        <v>21393.342115058549</v>
      </c>
      <c r="L333" s="8"/>
      <c r="M333" s="9"/>
      <c r="N333" s="9"/>
      <c r="O333" s="9"/>
      <c r="P333" s="9"/>
      <c r="Q333" s="10"/>
    </row>
    <row r="334" spans="1:17" x14ac:dyDescent="0.3">
      <c r="A334" s="1">
        <f t="shared" si="17"/>
        <v>333</v>
      </c>
      <c r="B334" s="19" t="s">
        <v>367</v>
      </c>
      <c r="C334" s="1" t="s">
        <v>326</v>
      </c>
      <c r="D334" s="2" t="s">
        <v>321</v>
      </c>
      <c r="E334" s="18">
        <v>43325</v>
      </c>
      <c r="F334" s="3">
        <f t="shared" si="18"/>
        <v>45382</v>
      </c>
      <c r="G334" s="4">
        <v>900</v>
      </c>
      <c r="H334" s="1">
        <f t="shared" si="16"/>
        <v>180</v>
      </c>
      <c r="I334" s="4">
        <v>265.67512837444383</v>
      </c>
      <c r="L334" s="8"/>
      <c r="M334" s="9"/>
      <c r="N334" s="9"/>
      <c r="O334" s="9"/>
      <c r="P334" s="9"/>
      <c r="Q334" s="10"/>
    </row>
    <row r="335" spans="1:17" x14ac:dyDescent="0.3">
      <c r="A335" s="1">
        <f t="shared" si="17"/>
        <v>334</v>
      </c>
      <c r="B335" s="19" t="s">
        <v>368</v>
      </c>
      <c r="C335" s="1" t="s">
        <v>326</v>
      </c>
      <c r="D335" s="2" t="s">
        <v>321</v>
      </c>
      <c r="E335" s="18">
        <v>43325</v>
      </c>
      <c r="F335" s="3">
        <f t="shared" si="18"/>
        <v>45382</v>
      </c>
      <c r="G335" s="4">
        <v>5300</v>
      </c>
      <c r="H335" s="1">
        <f t="shared" si="16"/>
        <v>180</v>
      </c>
      <c r="I335" s="4">
        <v>1564.5313115383915</v>
      </c>
      <c r="L335" s="8"/>
      <c r="M335" s="9"/>
      <c r="N335" s="9"/>
      <c r="O335" s="9"/>
      <c r="P335" s="9"/>
      <c r="Q335" s="10"/>
    </row>
    <row r="336" spans="1:17" x14ac:dyDescent="0.3">
      <c r="A336" s="1">
        <f t="shared" si="17"/>
        <v>335</v>
      </c>
      <c r="B336" s="19" t="s">
        <v>369</v>
      </c>
      <c r="C336" s="1" t="s">
        <v>326</v>
      </c>
      <c r="D336" s="2" t="s">
        <v>321</v>
      </c>
      <c r="E336" s="18">
        <v>43325</v>
      </c>
      <c r="F336" s="3">
        <f t="shared" si="18"/>
        <v>45382</v>
      </c>
      <c r="G336" s="4">
        <v>6425</v>
      </c>
      <c r="H336" s="1">
        <f t="shared" si="16"/>
        <v>180</v>
      </c>
      <c r="I336" s="4">
        <v>1896.6252220064464</v>
      </c>
      <c r="L336" s="8"/>
      <c r="M336" s="9"/>
      <c r="N336" s="9"/>
      <c r="O336" s="9"/>
      <c r="P336" s="9"/>
      <c r="Q336" s="10"/>
    </row>
    <row r="337" spans="1:17" x14ac:dyDescent="0.3">
      <c r="A337" s="1">
        <f t="shared" si="17"/>
        <v>336</v>
      </c>
      <c r="B337" s="19" t="s">
        <v>370</v>
      </c>
      <c r="C337" s="1" t="s">
        <v>326</v>
      </c>
      <c r="D337" s="2" t="s">
        <v>321</v>
      </c>
      <c r="E337" s="18">
        <v>43325</v>
      </c>
      <c r="F337" s="3">
        <f t="shared" si="18"/>
        <v>45382</v>
      </c>
      <c r="G337" s="4">
        <v>7500</v>
      </c>
      <c r="H337" s="1">
        <f t="shared" si="16"/>
        <v>180</v>
      </c>
      <c r="I337" s="4">
        <v>2213.9594031203656</v>
      </c>
      <c r="L337" s="8"/>
      <c r="M337" s="9"/>
      <c r="N337" s="9"/>
      <c r="O337" s="9"/>
      <c r="P337" s="9"/>
      <c r="Q337" s="10"/>
    </row>
    <row r="338" spans="1:17" x14ac:dyDescent="0.3">
      <c r="A338" s="1">
        <f t="shared" si="17"/>
        <v>337</v>
      </c>
      <c r="B338" s="19" t="s">
        <v>371</v>
      </c>
      <c r="C338" s="1" t="s">
        <v>326</v>
      </c>
      <c r="D338" s="2" t="s">
        <v>321</v>
      </c>
      <c r="E338" s="18">
        <v>43326</v>
      </c>
      <c r="F338" s="3">
        <f t="shared" si="18"/>
        <v>45382</v>
      </c>
      <c r="G338" s="4">
        <v>9000</v>
      </c>
      <c r="H338" s="1">
        <f t="shared" si="16"/>
        <v>180</v>
      </c>
      <c r="I338" s="4">
        <v>2656.7512837444383</v>
      </c>
      <c r="L338" s="8"/>
      <c r="M338" s="9"/>
      <c r="N338" s="9"/>
      <c r="O338" s="9"/>
      <c r="P338" s="9"/>
      <c r="Q338" s="10"/>
    </row>
    <row r="339" spans="1:17" x14ac:dyDescent="0.3">
      <c r="A339" s="1">
        <f t="shared" si="17"/>
        <v>338</v>
      </c>
      <c r="B339" s="19" t="s">
        <v>372</v>
      </c>
      <c r="C339" s="1" t="s">
        <v>326</v>
      </c>
      <c r="D339" s="2" t="s">
        <v>321</v>
      </c>
      <c r="E339" s="18">
        <v>43326</v>
      </c>
      <c r="F339" s="3">
        <f t="shared" si="18"/>
        <v>45382</v>
      </c>
      <c r="G339" s="4">
        <v>13795</v>
      </c>
      <c r="H339" s="1">
        <f t="shared" si="16"/>
        <v>180</v>
      </c>
      <c r="I339" s="4">
        <v>4072.2093288060587</v>
      </c>
      <c r="L339" s="8"/>
      <c r="M339" s="9"/>
      <c r="N339" s="9"/>
      <c r="O339" s="9"/>
      <c r="P339" s="9"/>
      <c r="Q339" s="10"/>
    </row>
    <row r="340" spans="1:17" x14ac:dyDescent="0.3">
      <c r="A340" s="1">
        <f t="shared" si="17"/>
        <v>339</v>
      </c>
      <c r="B340" s="19" t="s">
        <v>373</v>
      </c>
      <c r="C340" s="1" t="s">
        <v>326</v>
      </c>
      <c r="D340" s="2" t="s">
        <v>321</v>
      </c>
      <c r="E340" s="18">
        <v>43326</v>
      </c>
      <c r="F340" s="3">
        <f t="shared" si="18"/>
        <v>45382</v>
      </c>
      <c r="G340" s="4">
        <v>8700</v>
      </c>
      <c r="H340" s="1">
        <f t="shared" si="16"/>
        <v>180</v>
      </c>
      <c r="I340" s="4">
        <v>2568.1929076196243</v>
      </c>
      <c r="L340" s="8"/>
      <c r="M340" s="9"/>
      <c r="N340" s="9"/>
      <c r="O340" s="9"/>
      <c r="P340" s="9"/>
      <c r="Q340" s="10"/>
    </row>
    <row r="341" spans="1:17" x14ac:dyDescent="0.3">
      <c r="A341" s="1">
        <f t="shared" si="17"/>
        <v>340</v>
      </c>
      <c r="B341" s="19" t="s">
        <v>374</v>
      </c>
      <c r="C341" s="1" t="s">
        <v>326</v>
      </c>
      <c r="D341" s="2" t="s">
        <v>321</v>
      </c>
      <c r="E341" s="18">
        <v>43326</v>
      </c>
      <c r="F341" s="3">
        <f t="shared" si="18"/>
        <v>45382</v>
      </c>
      <c r="G341" s="4">
        <v>171690</v>
      </c>
      <c r="H341" s="1">
        <f t="shared" si="16"/>
        <v>180</v>
      </c>
      <c r="I341" s="4">
        <v>50681.958656231407</v>
      </c>
      <c r="L341" s="8"/>
      <c r="M341" s="9"/>
      <c r="N341" s="9"/>
      <c r="O341" s="9"/>
      <c r="P341" s="9"/>
      <c r="Q341" s="10"/>
    </row>
    <row r="342" spans="1:17" x14ac:dyDescent="0.3">
      <c r="A342" s="1">
        <f t="shared" si="17"/>
        <v>341</v>
      </c>
      <c r="B342" s="19" t="s">
        <v>375</v>
      </c>
      <c r="C342" s="1" t="s">
        <v>326</v>
      </c>
      <c r="D342" s="2" t="s">
        <v>321</v>
      </c>
      <c r="E342" s="18">
        <v>43326</v>
      </c>
      <c r="F342" s="3">
        <f t="shared" si="18"/>
        <v>45382</v>
      </c>
      <c r="G342" s="4">
        <v>101501</v>
      </c>
      <c r="H342" s="1">
        <f t="shared" si="16"/>
        <v>180</v>
      </c>
      <c r="I342" s="4">
        <v>29962.545783482692</v>
      </c>
      <c r="L342" s="8"/>
      <c r="M342" s="9"/>
      <c r="N342" s="9"/>
      <c r="O342" s="9"/>
      <c r="P342" s="9"/>
      <c r="Q342" s="10"/>
    </row>
    <row r="343" spans="1:17" x14ac:dyDescent="0.3">
      <c r="A343" s="1">
        <f t="shared" si="17"/>
        <v>342</v>
      </c>
      <c r="B343" s="19" t="s">
        <v>376</v>
      </c>
      <c r="C343" s="1" t="s">
        <v>326</v>
      </c>
      <c r="D343" s="2" t="s">
        <v>321</v>
      </c>
      <c r="E343" s="18">
        <v>43326</v>
      </c>
      <c r="F343" s="3">
        <f t="shared" si="18"/>
        <v>45382</v>
      </c>
      <c r="G343" s="4">
        <v>214170</v>
      </c>
      <c r="H343" s="1">
        <f t="shared" si="16"/>
        <v>180</v>
      </c>
      <c r="I343" s="4">
        <v>63221.82471550515</v>
      </c>
      <c r="L343" s="8"/>
      <c r="M343" s="9"/>
      <c r="N343" s="9"/>
      <c r="O343" s="9"/>
      <c r="P343" s="9"/>
      <c r="Q343" s="10"/>
    </row>
    <row r="344" spans="1:17" x14ac:dyDescent="0.3">
      <c r="A344" s="1">
        <f t="shared" si="17"/>
        <v>343</v>
      </c>
      <c r="B344" s="19" t="s">
        <v>377</v>
      </c>
      <c r="C344" s="1" t="s">
        <v>326</v>
      </c>
      <c r="D344" s="2" t="s">
        <v>321</v>
      </c>
      <c r="E344" s="18">
        <v>43326</v>
      </c>
      <c r="F344" s="3">
        <f t="shared" si="18"/>
        <v>45382</v>
      </c>
      <c r="G344" s="4">
        <v>100503</v>
      </c>
      <c r="H344" s="1">
        <f t="shared" si="16"/>
        <v>180</v>
      </c>
      <c r="I344" s="4">
        <v>29667.941585574143</v>
      </c>
      <c r="L344" s="8"/>
      <c r="M344" s="9"/>
      <c r="N344" s="9"/>
      <c r="O344" s="9"/>
      <c r="P344" s="9"/>
      <c r="Q344" s="10"/>
    </row>
    <row r="345" spans="1:17" x14ac:dyDescent="0.3">
      <c r="A345" s="1">
        <f t="shared" si="17"/>
        <v>344</v>
      </c>
      <c r="B345" s="19" t="s">
        <v>378</v>
      </c>
      <c r="C345" s="1" t="s">
        <v>326</v>
      </c>
      <c r="D345" s="2" t="s">
        <v>321</v>
      </c>
      <c r="E345" s="18">
        <v>43330</v>
      </c>
      <c r="F345" s="3">
        <f t="shared" si="18"/>
        <v>45382</v>
      </c>
      <c r="G345" s="4">
        <v>42252</v>
      </c>
      <c r="H345" s="1">
        <f t="shared" si="16"/>
        <v>180</v>
      </c>
      <c r="I345" s="4">
        <v>12472.561693418889</v>
      </c>
      <c r="L345" s="8"/>
      <c r="M345" s="9"/>
      <c r="N345" s="9"/>
      <c r="O345" s="9"/>
      <c r="P345" s="9"/>
      <c r="Q345" s="10"/>
    </row>
    <row r="346" spans="1:17" x14ac:dyDescent="0.3">
      <c r="A346" s="1">
        <f t="shared" si="17"/>
        <v>345</v>
      </c>
      <c r="B346" s="19" t="s">
        <v>379</v>
      </c>
      <c r="C346" s="1" t="s">
        <v>326</v>
      </c>
      <c r="D346" s="2" t="s">
        <v>321</v>
      </c>
      <c r="E346" s="18">
        <v>43330</v>
      </c>
      <c r="F346" s="3">
        <f t="shared" si="18"/>
        <v>45382</v>
      </c>
      <c r="G346" s="4">
        <v>39428</v>
      </c>
      <c r="H346" s="1">
        <f t="shared" si="16"/>
        <v>180</v>
      </c>
      <c r="I346" s="4">
        <v>11638.932179497302</v>
      </c>
      <c r="L346" s="8"/>
      <c r="M346" s="9"/>
      <c r="N346" s="9"/>
      <c r="O346" s="9"/>
      <c r="P346" s="9"/>
      <c r="Q346" s="10"/>
    </row>
    <row r="347" spans="1:17" x14ac:dyDescent="0.3">
      <c r="A347" s="1">
        <f t="shared" si="17"/>
        <v>346</v>
      </c>
      <c r="B347" s="19" t="s">
        <v>380</v>
      </c>
      <c r="C347" s="1" t="s">
        <v>326</v>
      </c>
      <c r="D347" s="2" t="s">
        <v>321</v>
      </c>
      <c r="E347" s="18">
        <v>43330</v>
      </c>
      <c r="F347" s="3">
        <f t="shared" si="18"/>
        <v>45382</v>
      </c>
      <c r="G347" s="4">
        <v>2708</v>
      </c>
      <c r="H347" s="1">
        <f t="shared" si="16"/>
        <v>180</v>
      </c>
      <c r="I347" s="4">
        <v>799.38694181999324</v>
      </c>
      <c r="L347" s="8"/>
      <c r="M347" s="9"/>
      <c r="N347" s="9"/>
      <c r="O347" s="9"/>
      <c r="P347" s="9"/>
      <c r="Q347" s="10"/>
    </row>
    <row r="348" spans="1:17" x14ac:dyDescent="0.3">
      <c r="A348" s="1">
        <f t="shared" si="17"/>
        <v>347</v>
      </c>
      <c r="B348" s="19" t="s">
        <v>381</v>
      </c>
      <c r="C348" s="1" t="s">
        <v>326</v>
      </c>
      <c r="D348" s="2" t="s">
        <v>321</v>
      </c>
      <c r="E348" s="18">
        <v>43333</v>
      </c>
      <c r="F348" s="3">
        <f t="shared" si="18"/>
        <v>45382</v>
      </c>
      <c r="G348" s="4">
        <v>5765</v>
      </c>
      <c r="H348" s="1">
        <f t="shared" si="16"/>
        <v>180</v>
      </c>
      <c r="I348" s="4">
        <v>1701.7967945318542</v>
      </c>
      <c r="L348" s="8"/>
      <c r="M348" s="9"/>
      <c r="N348" s="9"/>
      <c r="O348" s="9"/>
      <c r="P348" s="9"/>
      <c r="Q348" s="10"/>
    </row>
    <row r="349" spans="1:17" x14ac:dyDescent="0.3">
      <c r="A349" s="1">
        <f t="shared" si="17"/>
        <v>348</v>
      </c>
      <c r="B349" s="19" t="s">
        <v>382</v>
      </c>
      <c r="C349" s="1" t="s">
        <v>326</v>
      </c>
      <c r="D349" s="2" t="s">
        <v>321</v>
      </c>
      <c r="E349" s="18">
        <v>43333</v>
      </c>
      <c r="F349" s="3">
        <f t="shared" si="18"/>
        <v>45382</v>
      </c>
      <c r="G349" s="4">
        <v>3300</v>
      </c>
      <c r="H349" s="1">
        <f t="shared" si="16"/>
        <v>180</v>
      </c>
      <c r="I349" s="4">
        <v>974.14213737296075</v>
      </c>
      <c r="L349" s="8"/>
      <c r="M349" s="9"/>
      <c r="N349" s="9"/>
      <c r="O349" s="9"/>
      <c r="P349" s="9"/>
      <c r="Q349" s="10"/>
    </row>
    <row r="350" spans="1:17" x14ac:dyDescent="0.3">
      <c r="A350" s="1">
        <f t="shared" si="17"/>
        <v>349</v>
      </c>
      <c r="B350" s="19" t="s">
        <v>383</v>
      </c>
      <c r="C350" s="1" t="s">
        <v>326</v>
      </c>
      <c r="D350" s="2" t="s">
        <v>321</v>
      </c>
      <c r="E350" s="18">
        <v>43334</v>
      </c>
      <c r="F350" s="3">
        <f t="shared" si="18"/>
        <v>45382</v>
      </c>
      <c r="G350" s="4">
        <v>11424</v>
      </c>
      <c r="H350" s="1">
        <f t="shared" si="16"/>
        <v>180</v>
      </c>
      <c r="I350" s="4">
        <v>3372.3029628329405</v>
      </c>
      <c r="L350" s="8"/>
      <c r="M350" s="9"/>
      <c r="N350" s="9"/>
      <c r="O350" s="9"/>
      <c r="P350" s="9"/>
      <c r="Q350" s="10"/>
    </row>
    <row r="351" spans="1:17" x14ac:dyDescent="0.3">
      <c r="A351" s="1">
        <f t="shared" si="17"/>
        <v>350</v>
      </c>
      <c r="B351" s="19" t="s">
        <v>384</v>
      </c>
      <c r="C351" s="1" t="s">
        <v>326</v>
      </c>
      <c r="D351" s="2" t="s">
        <v>321</v>
      </c>
      <c r="E351" s="18">
        <v>43337</v>
      </c>
      <c r="F351" s="3">
        <f t="shared" si="18"/>
        <v>45382</v>
      </c>
      <c r="G351" s="4">
        <v>11606</v>
      </c>
      <c r="H351" s="1">
        <f t="shared" si="16"/>
        <v>180</v>
      </c>
      <c r="I351" s="4">
        <v>3426.0283776819942</v>
      </c>
      <c r="L351" s="8"/>
      <c r="M351" s="9"/>
      <c r="N351" s="9"/>
      <c r="O351" s="9"/>
      <c r="P351" s="9"/>
      <c r="Q351" s="10"/>
    </row>
    <row r="352" spans="1:17" x14ac:dyDescent="0.3">
      <c r="A352" s="1">
        <f t="shared" si="17"/>
        <v>351</v>
      </c>
      <c r="B352" s="19" t="s">
        <v>385</v>
      </c>
      <c r="C352" s="1" t="s">
        <v>326</v>
      </c>
      <c r="D352" s="2" t="s">
        <v>321</v>
      </c>
      <c r="E352" s="18">
        <v>43337</v>
      </c>
      <c r="F352" s="3">
        <f t="shared" si="18"/>
        <v>45382</v>
      </c>
      <c r="G352" s="4">
        <v>11649</v>
      </c>
      <c r="H352" s="1">
        <f t="shared" si="16"/>
        <v>180</v>
      </c>
      <c r="I352" s="4">
        <v>3438.7217449265513</v>
      </c>
      <c r="L352" s="8"/>
      <c r="M352" s="9"/>
      <c r="N352" s="9"/>
      <c r="O352" s="9"/>
      <c r="P352" s="9"/>
      <c r="Q352" s="10"/>
    </row>
    <row r="353" spans="1:17" x14ac:dyDescent="0.3">
      <c r="A353" s="1">
        <f t="shared" si="17"/>
        <v>352</v>
      </c>
      <c r="B353" s="19" t="s">
        <v>386</v>
      </c>
      <c r="C353" s="1" t="s">
        <v>326</v>
      </c>
      <c r="D353" s="2" t="s">
        <v>321</v>
      </c>
      <c r="E353" s="18">
        <v>43340</v>
      </c>
      <c r="F353" s="3">
        <f t="shared" si="18"/>
        <v>45382</v>
      </c>
      <c r="G353" s="4">
        <v>7786</v>
      </c>
      <c r="H353" s="1">
        <f t="shared" si="16"/>
        <v>180</v>
      </c>
      <c r="I353" s="4">
        <v>2298.3850550260217</v>
      </c>
      <c r="L353" s="8"/>
      <c r="M353" s="9"/>
      <c r="N353" s="9"/>
      <c r="O353" s="9"/>
      <c r="P353" s="9"/>
      <c r="Q353" s="10"/>
    </row>
    <row r="354" spans="1:17" x14ac:dyDescent="0.3">
      <c r="A354" s="1">
        <f t="shared" si="17"/>
        <v>353</v>
      </c>
      <c r="B354" s="19" t="s">
        <v>387</v>
      </c>
      <c r="C354" s="1" t="s">
        <v>326</v>
      </c>
      <c r="D354" s="2" t="s">
        <v>321</v>
      </c>
      <c r="E354" s="18">
        <v>43340</v>
      </c>
      <c r="F354" s="3">
        <f t="shared" si="18"/>
        <v>45382</v>
      </c>
      <c r="G354" s="4">
        <v>67260</v>
      </c>
      <c r="H354" s="1">
        <f t="shared" si="16"/>
        <v>180</v>
      </c>
      <c r="I354" s="4">
        <v>19854.787927183439</v>
      </c>
      <c r="L354" s="8"/>
      <c r="M354" s="9"/>
      <c r="N354" s="9"/>
      <c r="O354" s="9"/>
      <c r="P354" s="9"/>
      <c r="Q354" s="10"/>
    </row>
    <row r="355" spans="1:17" x14ac:dyDescent="0.3">
      <c r="A355" s="1">
        <f t="shared" si="17"/>
        <v>354</v>
      </c>
      <c r="B355" s="19" t="s">
        <v>388</v>
      </c>
      <c r="C355" s="1" t="s">
        <v>326</v>
      </c>
      <c r="D355" s="2" t="s">
        <v>321</v>
      </c>
      <c r="E355" s="18">
        <v>43353</v>
      </c>
      <c r="F355" s="3">
        <f t="shared" si="18"/>
        <v>45382</v>
      </c>
      <c r="G355" s="4">
        <v>14699</v>
      </c>
      <c r="H355" s="1">
        <f t="shared" si="16"/>
        <v>180</v>
      </c>
      <c r="I355" s="4">
        <v>4258.3782809202457</v>
      </c>
      <c r="L355" s="8"/>
      <c r="M355" s="9"/>
      <c r="N355" s="9"/>
      <c r="O355" s="9"/>
      <c r="P355" s="9"/>
      <c r="Q355" s="10"/>
    </row>
    <row r="356" spans="1:17" x14ac:dyDescent="0.3">
      <c r="A356" s="1">
        <f t="shared" si="17"/>
        <v>355</v>
      </c>
      <c r="B356" s="19" t="s">
        <v>389</v>
      </c>
      <c r="C356" s="1" t="s">
        <v>326</v>
      </c>
      <c r="D356" s="2" t="s">
        <v>321</v>
      </c>
      <c r="E356" s="18">
        <v>43353</v>
      </c>
      <c r="F356" s="3">
        <f t="shared" si="18"/>
        <v>45382</v>
      </c>
      <c r="G356" s="4">
        <v>1003000</v>
      </c>
      <c r="H356" s="1">
        <f t="shared" si="16"/>
        <v>180</v>
      </c>
      <c r="I356" s="4">
        <v>290574.42110095971</v>
      </c>
      <c r="L356" s="8"/>
      <c r="M356" s="9"/>
      <c r="N356" s="9"/>
      <c r="O356" s="9"/>
      <c r="P356" s="9"/>
      <c r="Q356" s="10"/>
    </row>
    <row r="357" spans="1:17" x14ac:dyDescent="0.3">
      <c r="A357" s="1">
        <f t="shared" si="17"/>
        <v>356</v>
      </c>
      <c r="B357" s="19" t="s">
        <v>390</v>
      </c>
      <c r="C357" s="1" t="s">
        <v>326</v>
      </c>
      <c r="D357" s="2" t="s">
        <v>321</v>
      </c>
      <c r="E357" s="18">
        <v>43355</v>
      </c>
      <c r="F357" s="3">
        <f t="shared" si="18"/>
        <v>45382</v>
      </c>
      <c r="G357" s="4">
        <v>3500</v>
      </c>
      <c r="H357" s="1">
        <f t="shared" si="16"/>
        <v>180</v>
      </c>
      <c r="I357" s="4">
        <v>1013.9685681489121</v>
      </c>
      <c r="L357" s="8"/>
      <c r="M357" s="9"/>
      <c r="N357" s="9"/>
      <c r="O357" s="9"/>
      <c r="P357" s="9"/>
      <c r="Q357" s="10"/>
    </row>
    <row r="358" spans="1:17" x14ac:dyDescent="0.3">
      <c r="A358" s="1">
        <f t="shared" si="17"/>
        <v>357</v>
      </c>
      <c r="B358" s="19" t="s">
        <v>391</v>
      </c>
      <c r="C358" s="1" t="s">
        <v>326</v>
      </c>
      <c r="D358" s="2" t="s">
        <v>321</v>
      </c>
      <c r="E358" s="18">
        <v>43355</v>
      </c>
      <c r="F358" s="3">
        <f t="shared" si="18"/>
        <v>45382</v>
      </c>
      <c r="G358" s="4">
        <v>7800</v>
      </c>
      <c r="H358" s="1">
        <f t="shared" si="16"/>
        <v>180</v>
      </c>
      <c r="I358" s="4">
        <v>2259.7013804461476</v>
      </c>
      <c r="L358" s="8"/>
      <c r="M358" s="9"/>
      <c r="N358" s="9"/>
      <c r="O358" s="9"/>
      <c r="P358" s="9"/>
      <c r="Q358" s="10"/>
    </row>
    <row r="359" spans="1:17" x14ac:dyDescent="0.3">
      <c r="A359" s="1">
        <f t="shared" si="17"/>
        <v>358</v>
      </c>
      <c r="B359" s="19" t="s">
        <v>392</v>
      </c>
      <c r="C359" s="1" t="s">
        <v>326</v>
      </c>
      <c r="D359" s="2" t="s">
        <v>321</v>
      </c>
      <c r="E359" s="18">
        <v>43356</v>
      </c>
      <c r="F359" s="3">
        <f t="shared" si="18"/>
        <v>45382</v>
      </c>
      <c r="G359" s="4">
        <v>16284</v>
      </c>
      <c r="H359" s="1">
        <f t="shared" si="16"/>
        <v>180</v>
      </c>
      <c r="I359" s="4">
        <v>4717.561189639111</v>
      </c>
      <c r="L359" s="8"/>
      <c r="M359" s="9"/>
      <c r="N359" s="9"/>
      <c r="O359" s="9"/>
      <c r="P359" s="9"/>
      <c r="Q359" s="10"/>
    </row>
    <row r="360" spans="1:17" x14ac:dyDescent="0.3">
      <c r="A360" s="1">
        <f t="shared" si="17"/>
        <v>359</v>
      </c>
      <c r="B360" s="19" t="s">
        <v>393</v>
      </c>
      <c r="C360" s="1" t="s">
        <v>326</v>
      </c>
      <c r="D360" s="2" t="s">
        <v>321</v>
      </c>
      <c r="E360" s="18">
        <v>43360</v>
      </c>
      <c r="F360" s="3">
        <f t="shared" si="18"/>
        <v>45382</v>
      </c>
      <c r="G360" s="4">
        <v>8064</v>
      </c>
      <c r="H360" s="1">
        <f t="shared" si="16"/>
        <v>180</v>
      </c>
      <c r="I360" s="4">
        <v>2336.1835810150938</v>
      </c>
      <c r="L360" s="8"/>
      <c r="M360" s="9"/>
      <c r="N360" s="9"/>
      <c r="O360" s="9"/>
      <c r="P360" s="9"/>
      <c r="Q360" s="10"/>
    </row>
    <row r="361" spans="1:17" x14ac:dyDescent="0.3">
      <c r="A361" s="1">
        <f t="shared" si="17"/>
        <v>360</v>
      </c>
      <c r="B361" s="19" t="s">
        <v>394</v>
      </c>
      <c r="C361" s="1" t="s">
        <v>326</v>
      </c>
      <c r="D361" s="2" t="s">
        <v>321</v>
      </c>
      <c r="E361" s="18">
        <v>43361</v>
      </c>
      <c r="F361" s="3">
        <f t="shared" si="18"/>
        <v>45382</v>
      </c>
      <c r="G361" s="4">
        <v>23333</v>
      </c>
      <c r="H361" s="1">
        <f t="shared" si="16"/>
        <v>180</v>
      </c>
      <c r="I361" s="4">
        <v>6759.6938858910189</v>
      </c>
      <c r="L361" s="8"/>
      <c r="M361" s="9"/>
      <c r="N361" s="9"/>
      <c r="O361" s="9"/>
      <c r="P361" s="9"/>
      <c r="Q361" s="10"/>
    </row>
    <row r="362" spans="1:17" x14ac:dyDescent="0.3">
      <c r="A362" s="1">
        <f t="shared" si="17"/>
        <v>361</v>
      </c>
      <c r="B362" s="19" t="s">
        <v>395</v>
      </c>
      <c r="C362" s="1" t="s">
        <v>326</v>
      </c>
      <c r="D362" s="2" t="s">
        <v>321</v>
      </c>
      <c r="E362" s="18">
        <v>43361</v>
      </c>
      <c r="F362" s="3">
        <f t="shared" si="18"/>
        <v>45382</v>
      </c>
      <c r="G362" s="4">
        <v>13820</v>
      </c>
      <c r="H362" s="1">
        <f t="shared" si="16"/>
        <v>180</v>
      </c>
      <c r="I362" s="4">
        <v>4003.7273176622766</v>
      </c>
      <c r="L362" s="8"/>
      <c r="M362" s="9"/>
      <c r="N362" s="9"/>
      <c r="O362" s="9"/>
      <c r="P362" s="9"/>
      <c r="Q362" s="10"/>
    </row>
    <row r="363" spans="1:17" x14ac:dyDescent="0.3">
      <c r="A363" s="1">
        <f t="shared" si="17"/>
        <v>362</v>
      </c>
      <c r="B363" s="19" t="s">
        <v>396</v>
      </c>
      <c r="C363" s="1" t="s">
        <v>326</v>
      </c>
      <c r="D363" s="2" t="s">
        <v>321</v>
      </c>
      <c r="E363" s="18">
        <v>43361</v>
      </c>
      <c r="F363" s="3">
        <f t="shared" si="18"/>
        <v>45382</v>
      </c>
      <c r="G363" s="4">
        <v>16180</v>
      </c>
      <c r="H363" s="1">
        <f t="shared" si="16"/>
        <v>180</v>
      </c>
      <c r="I363" s="4">
        <v>4687.4318378998287</v>
      </c>
      <c r="L363" s="8"/>
      <c r="M363" s="9"/>
      <c r="N363" s="9"/>
      <c r="O363" s="9"/>
      <c r="P363" s="9"/>
      <c r="Q363" s="10"/>
    </row>
    <row r="364" spans="1:17" x14ac:dyDescent="0.3">
      <c r="A364" s="1">
        <f t="shared" si="17"/>
        <v>363</v>
      </c>
      <c r="B364" s="19" t="s">
        <v>397</v>
      </c>
      <c r="C364" s="1" t="s">
        <v>326</v>
      </c>
      <c r="D364" s="2" t="s">
        <v>321</v>
      </c>
      <c r="E364" s="18">
        <v>43361</v>
      </c>
      <c r="F364" s="3">
        <f t="shared" si="18"/>
        <v>45382</v>
      </c>
      <c r="G364" s="4">
        <v>34160</v>
      </c>
      <c r="H364" s="1">
        <f t="shared" si="16"/>
        <v>180</v>
      </c>
      <c r="I364" s="4">
        <v>9896.333225133385</v>
      </c>
      <c r="L364" s="8"/>
      <c r="M364" s="9"/>
      <c r="N364" s="9"/>
      <c r="O364" s="9"/>
      <c r="P364" s="9"/>
      <c r="Q364" s="10"/>
    </row>
    <row r="365" spans="1:17" x14ac:dyDescent="0.3">
      <c r="A365" s="1">
        <f t="shared" si="17"/>
        <v>364</v>
      </c>
      <c r="B365" s="19" t="s">
        <v>398</v>
      </c>
      <c r="C365" s="1" t="s">
        <v>326</v>
      </c>
      <c r="D365" s="2" t="s">
        <v>321</v>
      </c>
      <c r="E365" s="18">
        <v>43362</v>
      </c>
      <c r="F365" s="3">
        <f t="shared" si="18"/>
        <v>45382</v>
      </c>
      <c r="G365" s="4">
        <v>1652</v>
      </c>
      <c r="H365" s="1">
        <f t="shared" si="16"/>
        <v>180</v>
      </c>
      <c r="I365" s="4">
        <v>478.59316416628656</v>
      </c>
      <c r="L365" s="8"/>
      <c r="M365" s="9"/>
      <c r="N365" s="9"/>
      <c r="O365" s="9"/>
      <c r="P365" s="9"/>
      <c r="Q365" s="10"/>
    </row>
    <row r="366" spans="1:17" x14ac:dyDescent="0.3">
      <c r="A366" s="1">
        <f t="shared" si="17"/>
        <v>365</v>
      </c>
      <c r="B366" s="19" t="s">
        <v>399</v>
      </c>
      <c r="C366" s="1" t="s">
        <v>326</v>
      </c>
      <c r="D366" s="2" t="s">
        <v>321</v>
      </c>
      <c r="E366" s="18">
        <v>43362</v>
      </c>
      <c r="F366" s="3">
        <f t="shared" si="18"/>
        <v>45382</v>
      </c>
      <c r="G366" s="4">
        <v>10100</v>
      </c>
      <c r="H366" s="1">
        <f t="shared" si="16"/>
        <v>180</v>
      </c>
      <c r="I366" s="4">
        <v>2926.0235823725752</v>
      </c>
      <c r="L366" s="8"/>
      <c r="M366" s="9"/>
      <c r="N366" s="9"/>
      <c r="O366" s="9"/>
      <c r="P366" s="9"/>
      <c r="Q366" s="10"/>
    </row>
    <row r="367" spans="1:17" x14ac:dyDescent="0.3">
      <c r="A367" s="1">
        <f t="shared" si="17"/>
        <v>366</v>
      </c>
      <c r="B367" s="19" t="s">
        <v>400</v>
      </c>
      <c r="C367" s="1" t="s">
        <v>326</v>
      </c>
      <c r="D367" s="2" t="s">
        <v>321</v>
      </c>
      <c r="E367" s="18">
        <v>43367</v>
      </c>
      <c r="F367" s="3">
        <f t="shared" si="18"/>
        <v>45382</v>
      </c>
      <c r="G367" s="4">
        <v>8400</v>
      </c>
      <c r="H367" s="1">
        <f t="shared" ref="H367:H430" si="19">15*12</f>
        <v>180</v>
      </c>
      <c r="I367" s="4">
        <v>2433.5245635573892</v>
      </c>
      <c r="L367" s="8"/>
      <c r="M367" s="9"/>
      <c r="N367" s="9"/>
      <c r="O367" s="9"/>
      <c r="P367" s="9"/>
      <c r="Q367" s="10"/>
    </row>
    <row r="368" spans="1:17" x14ac:dyDescent="0.3">
      <c r="A368" s="1">
        <f t="shared" si="17"/>
        <v>367</v>
      </c>
      <c r="B368" s="19" t="s">
        <v>401</v>
      </c>
      <c r="C368" s="1" t="s">
        <v>326</v>
      </c>
      <c r="D368" s="2" t="s">
        <v>321</v>
      </c>
      <c r="E368" s="18">
        <v>43367</v>
      </c>
      <c r="F368" s="3">
        <f t="shared" si="18"/>
        <v>45382</v>
      </c>
      <c r="G368" s="4">
        <v>400</v>
      </c>
      <c r="H368" s="1">
        <f t="shared" si="19"/>
        <v>180</v>
      </c>
      <c r="I368" s="4">
        <v>115.88212207416142</v>
      </c>
      <c r="L368" s="8"/>
      <c r="M368" s="9"/>
      <c r="N368" s="9"/>
      <c r="O368" s="9"/>
      <c r="P368" s="9"/>
      <c r="Q368" s="10"/>
    </row>
    <row r="369" spans="1:17" x14ac:dyDescent="0.3">
      <c r="A369" s="1">
        <f t="shared" si="17"/>
        <v>368</v>
      </c>
      <c r="B369" s="19" t="s">
        <v>402</v>
      </c>
      <c r="C369" s="1" t="s">
        <v>326</v>
      </c>
      <c r="D369" s="2" t="s">
        <v>321</v>
      </c>
      <c r="E369" s="18">
        <v>43377</v>
      </c>
      <c r="F369" s="3">
        <f t="shared" si="18"/>
        <v>45382</v>
      </c>
      <c r="G369" s="4">
        <v>14000</v>
      </c>
      <c r="H369" s="1">
        <f t="shared" si="19"/>
        <v>180</v>
      </c>
      <c r="I369" s="4">
        <v>3976.4507002241035</v>
      </c>
      <c r="L369" s="8"/>
      <c r="M369" s="9"/>
      <c r="N369" s="9"/>
      <c r="O369" s="9"/>
      <c r="P369" s="9"/>
      <c r="Q369" s="10"/>
    </row>
    <row r="370" spans="1:17" x14ac:dyDescent="0.3">
      <c r="A370" s="1">
        <f t="shared" si="17"/>
        <v>369</v>
      </c>
      <c r="B370" s="19" t="s">
        <v>403</v>
      </c>
      <c r="C370" s="1" t="s">
        <v>326</v>
      </c>
      <c r="D370" s="2" t="s">
        <v>321</v>
      </c>
      <c r="E370" s="18">
        <v>43383</v>
      </c>
      <c r="F370" s="3">
        <f t="shared" si="18"/>
        <v>45382</v>
      </c>
      <c r="G370" s="4">
        <v>50970</v>
      </c>
      <c r="H370" s="1">
        <f t="shared" si="19"/>
        <v>180</v>
      </c>
      <c r="I370" s="4">
        <v>14477.120870744468</v>
      </c>
      <c r="L370" s="8"/>
      <c r="M370" s="9"/>
      <c r="N370" s="9"/>
      <c r="O370" s="9"/>
      <c r="P370" s="9"/>
      <c r="Q370" s="10"/>
    </row>
    <row r="371" spans="1:17" x14ac:dyDescent="0.3">
      <c r="A371" s="1">
        <f t="shared" si="17"/>
        <v>370</v>
      </c>
      <c r="B371" s="19" t="s">
        <v>404</v>
      </c>
      <c r="C371" s="1" t="s">
        <v>326</v>
      </c>
      <c r="D371" s="2" t="s">
        <v>321</v>
      </c>
      <c r="E371" s="18">
        <v>43383</v>
      </c>
      <c r="F371" s="3">
        <f t="shared" si="18"/>
        <v>45382</v>
      </c>
      <c r="G371" s="4">
        <v>24780</v>
      </c>
      <c r="H371" s="1">
        <f t="shared" si="19"/>
        <v>180</v>
      </c>
      <c r="I371" s="4">
        <v>7038.3177393966635</v>
      </c>
      <c r="L371" s="8"/>
      <c r="M371" s="9"/>
      <c r="N371" s="9"/>
      <c r="O371" s="9"/>
      <c r="P371" s="9"/>
      <c r="Q371" s="10"/>
    </row>
    <row r="372" spans="1:17" x14ac:dyDescent="0.3">
      <c r="A372" s="1">
        <f t="shared" si="17"/>
        <v>371</v>
      </c>
      <c r="B372" s="19" t="s">
        <v>405</v>
      </c>
      <c r="C372" s="1" t="s">
        <v>326</v>
      </c>
      <c r="D372" s="2" t="s">
        <v>321</v>
      </c>
      <c r="E372" s="18">
        <v>43385</v>
      </c>
      <c r="F372" s="3">
        <f t="shared" si="18"/>
        <v>45382</v>
      </c>
      <c r="G372" s="4">
        <v>8960</v>
      </c>
      <c r="H372" s="1">
        <f t="shared" si="19"/>
        <v>180</v>
      </c>
      <c r="I372" s="4">
        <v>2544.9284481434265</v>
      </c>
      <c r="L372" s="8"/>
      <c r="M372" s="9"/>
      <c r="N372" s="9"/>
      <c r="O372" s="9"/>
      <c r="P372" s="9"/>
      <c r="Q372" s="10"/>
    </row>
    <row r="373" spans="1:17" x14ac:dyDescent="0.3">
      <c r="A373" s="1">
        <f t="shared" si="17"/>
        <v>372</v>
      </c>
      <c r="B373" s="19" t="s">
        <v>406</v>
      </c>
      <c r="C373" s="1" t="s">
        <v>326</v>
      </c>
      <c r="D373" s="2" t="s">
        <v>321</v>
      </c>
      <c r="E373" s="18">
        <v>43397</v>
      </c>
      <c r="F373" s="3">
        <f t="shared" si="18"/>
        <v>45382</v>
      </c>
      <c r="G373" s="4">
        <v>3136</v>
      </c>
      <c r="H373" s="1">
        <f t="shared" si="19"/>
        <v>180</v>
      </c>
      <c r="I373" s="4">
        <v>890.72495685019919</v>
      </c>
      <c r="L373" s="8"/>
      <c r="M373" s="9"/>
      <c r="N373" s="9"/>
      <c r="O373" s="9"/>
      <c r="P373" s="9"/>
      <c r="Q373" s="10"/>
    </row>
    <row r="374" spans="1:17" x14ac:dyDescent="0.3">
      <c r="A374" s="1">
        <f t="shared" si="17"/>
        <v>373</v>
      </c>
      <c r="B374" s="19" t="s">
        <v>407</v>
      </c>
      <c r="C374" s="1" t="s">
        <v>326</v>
      </c>
      <c r="D374" s="2" t="s">
        <v>321</v>
      </c>
      <c r="E374" s="18">
        <v>43397</v>
      </c>
      <c r="F374" s="3">
        <f t="shared" si="18"/>
        <v>45382</v>
      </c>
      <c r="G374" s="4">
        <v>1350</v>
      </c>
      <c r="H374" s="1">
        <f t="shared" si="19"/>
        <v>180</v>
      </c>
      <c r="I374" s="4">
        <v>383.44346037875283</v>
      </c>
      <c r="L374" s="8"/>
      <c r="M374" s="9"/>
      <c r="N374" s="9"/>
      <c r="O374" s="9"/>
      <c r="P374" s="9"/>
      <c r="Q374" s="10"/>
    </row>
    <row r="375" spans="1:17" x14ac:dyDescent="0.3">
      <c r="A375" s="1">
        <f t="shared" si="17"/>
        <v>374</v>
      </c>
      <c r="B375" s="19" t="s">
        <v>408</v>
      </c>
      <c r="C375" s="1" t="s">
        <v>326</v>
      </c>
      <c r="D375" s="2" t="s">
        <v>321</v>
      </c>
      <c r="E375" s="18">
        <v>43403</v>
      </c>
      <c r="F375" s="3">
        <f t="shared" si="18"/>
        <v>45382</v>
      </c>
      <c r="G375" s="4">
        <v>2950</v>
      </c>
      <c r="H375" s="1">
        <f t="shared" si="19"/>
        <v>180</v>
      </c>
      <c r="I375" s="4">
        <v>837.89496897579329</v>
      </c>
      <c r="L375" s="8"/>
      <c r="M375" s="9"/>
      <c r="N375" s="9"/>
      <c r="O375" s="9"/>
      <c r="P375" s="9"/>
      <c r="Q375" s="10"/>
    </row>
    <row r="376" spans="1:17" x14ac:dyDescent="0.3">
      <c r="A376" s="1">
        <f t="shared" si="17"/>
        <v>375</v>
      </c>
      <c r="B376" s="19" t="s">
        <v>409</v>
      </c>
      <c r="C376" s="1" t="s">
        <v>326</v>
      </c>
      <c r="D376" s="2" t="s">
        <v>321</v>
      </c>
      <c r="E376" s="18">
        <v>43406</v>
      </c>
      <c r="F376" s="3">
        <f t="shared" si="18"/>
        <v>45382</v>
      </c>
      <c r="G376" s="4">
        <v>3200</v>
      </c>
      <c r="H376" s="1">
        <f t="shared" si="19"/>
        <v>180</v>
      </c>
      <c r="I376" s="4">
        <v>891.33207258321704</v>
      </c>
      <c r="L376" s="8"/>
      <c r="M376" s="9"/>
      <c r="N376" s="9"/>
      <c r="O376" s="9"/>
      <c r="P376" s="9"/>
      <c r="Q376" s="10"/>
    </row>
    <row r="377" spans="1:17" x14ac:dyDescent="0.3">
      <c r="A377" s="1">
        <f t="shared" si="17"/>
        <v>376</v>
      </c>
      <c r="B377" s="19" t="s">
        <v>410</v>
      </c>
      <c r="C377" s="1" t="s">
        <v>326</v>
      </c>
      <c r="D377" s="2" t="s">
        <v>321</v>
      </c>
      <c r="E377" s="18">
        <v>43406</v>
      </c>
      <c r="F377" s="3">
        <f t="shared" si="18"/>
        <v>45382</v>
      </c>
      <c r="G377" s="4">
        <v>6294</v>
      </c>
      <c r="H377" s="1">
        <f t="shared" si="19"/>
        <v>180</v>
      </c>
      <c r="I377" s="4">
        <v>1753.138770262115</v>
      </c>
      <c r="L377" s="8"/>
      <c r="M377" s="9"/>
      <c r="N377" s="9"/>
      <c r="O377" s="9"/>
      <c r="P377" s="9"/>
      <c r="Q377" s="10"/>
    </row>
    <row r="378" spans="1:17" x14ac:dyDescent="0.3">
      <c r="A378" s="1">
        <f t="shared" si="17"/>
        <v>377</v>
      </c>
      <c r="B378" s="19" t="s">
        <v>411</v>
      </c>
      <c r="C378" s="1" t="s">
        <v>326</v>
      </c>
      <c r="D378" s="2" t="s">
        <v>321</v>
      </c>
      <c r="E378" s="18">
        <v>43418</v>
      </c>
      <c r="F378" s="3">
        <f t="shared" si="18"/>
        <v>45382</v>
      </c>
      <c r="G378" s="4">
        <v>672</v>
      </c>
      <c r="H378" s="1">
        <f t="shared" si="19"/>
        <v>180</v>
      </c>
      <c r="I378" s="4">
        <v>187.1797352424756</v>
      </c>
      <c r="L378" s="8"/>
      <c r="M378" s="9"/>
      <c r="N378" s="9"/>
      <c r="O378" s="9"/>
      <c r="P378" s="9"/>
      <c r="Q378" s="10"/>
    </row>
    <row r="379" spans="1:17" x14ac:dyDescent="0.3">
      <c r="A379" s="1">
        <f t="shared" si="17"/>
        <v>378</v>
      </c>
      <c r="B379" s="19" t="s">
        <v>412</v>
      </c>
      <c r="C379" s="1" t="s">
        <v>326</v>
      </c>
      <c r="D379" s="2" t="s">
        <v>321</v>
      </c>
      <c r="E379" s="18">
        <v>43424</v>
      </c>
      <c r="F379" s="3">
        <f t="shared" si="18"/>
        <v>45382</v>
      </c>
      <c r="G379" s="4">
        <v>33600</v>
      </c>
      <c r="H379" s="1">
        <f t="shared" si="19"/>
        <v>180</v>
      </c>
      <c r="I379" s="4">
        <v>9358.986762123779</v>
      </c>
      <c r="L379" s="8"/>
      <c r="M379" s="9"/>
      <c r="N379" s="9"/>
      <c r="O379" s="9"/>
      <c r="P379" s="9"/>
      <c r="Q379" s="10"/>
    </row>
    <row r="380" spans="1:17" x14ac:dyDescent="0.3">
      <c r="A380" s="1">
        <f t="shared" si="17"/>
        <v>379</v>
      </c>
      <c r="B380" s="19" t="s">
        <v>413</v>
      </c>
      <c r="C380" s="1" t="s">
        <v>326</v>
      </c>
      <c r="D380" s="2" t="s">
        <v>321</v>
      </c>
      <c r="E380" s="18">
        <v>43430</v>
      </c>
      <c r="F380" s="3">
        <f t="shared" si="18"/>
        <v>45382</v>
      </c>
      <c r="G380" s="4">
        <v>6750</v>
      </c>
      <c r="H380" s="1">
        <f t="shared" si="19"/>
        <v>180</v>
      </c>
      <c r="I380" s="4">
        <v>1880.1535906052238</v>
      </c>
      <c r="L380" s="8"/>
      <c r="M380" s="9"/>
      <c r="N380" s="9"/>
      <c r="O380" s="9"/>
      <c r="P380" s="9"/>
      <c r="Q380" s="10"/>
    </row>
    <row r="381" spans="1:17" x14ac:dyDescent="0.3">
      <c r="A381" s="1">
        <f t="shared" si="17"/>
        <v>380</v>
      </c>
      <c r="B381" s="19" t="s">
        <v>414</v>
      </c>
      <c r="C381" s="1" t="s">
        <v>326</v>
      </c>
      <c r="D381" s="2" t="s">
        <v>321</v>
      </c>
      <c r="E381" s="18">
        <v>43434</v>
      </c>
      <c r="F381" s="3">
        <f t="shared" si="18"/>
        <v>45382</v>
      </c>
      <c r="G381" s="4">
        <v>9250</v>
      </c>
      <c r="H381" s="1">
        <f t="shared" si="19"/>
        <v>180</v>
      </c>
      <c r="I381" s="4">
        <v>2576.5067723108618</v>
      </c>
      <c r="L381" s="8"/>
      <c r="M381" s="9"/>
      <c r="N381" s="9"/>
      <c r="O381" s="9"/>
      <c r="P381" s="9"/>
      <c r="Q381" s="10"/>
    </row>
    <row r="382" spans="1:17" x14ac:dyDescent="0.3">
      <c r="A382" s="1">
        <f t="shared" si="17"/>
        <v>381</v>
      </c>
      <c r="B382" s="19" t="s">
        <v>415</v>
      </c>
      <c r="C382" s="1" t="s">
        <v>326</v>
      </c>
      <c r="D382" s="2" t="s">
        <v>321</v>
      </c>
      <c r="E382" s="18">
        <v>43434</v>
      </c>
      <c r="F382" s="3">
        <f t="shared" si="18"/>
        <v>45382</v>
      </c>
      <c r="G382" s="4">
        <v>4600</v>
      </c>
      <c r="H382" s="1">
        <f t="shared" si="19"/>
        <v>180</v>
      </c>
      <c r="I382" s="4">
        <v>1281.2898543383747</v>
      </c>
      <c r="L382" s="8"/>
      <c r="M382" s="9"/>
      <c r="N382" s="9"/>
      <c r="O382" s="9"/>
      <c r="P382" s="9"/>
      <c r="Q382" s="10"/>
    </row>
    <row r="383" spans="1:17" x14ac:dyDescent="0.3">
      <c r="A383" s="1">
        <f t="shared" si="17"/>
        <v>382</v>
      </c>
      <c r="B383" s="19" t="s">
        <v>416</v>
      </c>
      <c r="C383" s="1" t="s">
        <v>326</v>
      </c>
      <c r="D383" s="2" t="s">
        <v>321</v>
      </c>
      <c r="E383" s="18">
        <v>43445</v>
      </c>
      <c r="F383" s="3">
        <f t="shared" si="18"/>
        <v>45382</v>
      </c>
      <c r="G383" s="4">
        <v>2203</v>
      </c>
      <c r="H383" s="1">
        <f t="shared" si="19"/>
        <v>180</v>
      </c>
      <c r="I383" s="4">
        <v>601.12489695958868</v>
      </c>
      <c r="L383" s="8"/>
      <c r="M383" s="9"/>
      <c r="N383" s="9"/>
      <c r="O383" s="9"/>
      <c r="P383" s="9"/>
      <c r="Q383" s="10"/>
    </row>
    <row r="384" spans="1:17" x14ac:dyDescent="0.3">
      <c r="A384" s="1">
        <f t="shared" si="17"/>
        <v>383</v>
      </c>
      <c r="B384" s="19" t="s">
        <v>417</v>
      </c>
      <c r="C384" s="1" t="s">
        <v>326</v>
      </c>
      <c r="D384" s="2" t="s">
        <v>321</v>
      </c>
      <c r="E384" s="18">
        <v>43446</v>
      </c>
      <c r="F384" s="3">
        <f t="shared" si="18"/>
        <v>45382</v>
      </c>
      <c r="G384" s="4">
        <v>1999</v>
      </c>
      <c r="H384" s="1">
        <f t="shared" si="19"/>
        <v>180</v>
      </c>
      <c r="I384" s="4">
        <v>545.46013119483337</v>
      </c>
      <c r="L384" s="8"/>
      <c r="M384" s="9"/>
      <c r="N384" s="9"/>
      <c r="O384" s="9"/>
      <c r="P384" s="9"/>
      <c r="Q384" s="10"/>
    </row>
    <row r="385" spans="1:17" x14ac:dyDescent="0.3">
      <c r="A385" s="1">
        <f t="shared" si="17"/>
        <v>384</v>
      </c>
      <c r="B385" s="19" t="s">
        <v>418</v>
      </c>
      <c r="C385" s="1" t="s">
        <v>326</v>
      </c>
      <c r="D385" s="2" t="s">
        <v>321</v>
      </c>
      <c r="E385" s="18">
        <v>43446</v>
      </c>
      <c r="F385" s="3">
        <f t="shared" si="18"/>
        <v>45382</v>
      </c>
      <c r="G385" s="4">
        <v>1300</v>
      </c>
      <c r="H385" s="1">
        <f t="shared" si="19"/>
        <v>180</v>
      </c>
      <c r="I385" s="4">
        <v>354.7264485008921</v>
      </c>
      <c r="L385" s="8"/>
      <c r="M385" s="9"/>
      <c r="N385" s="9"/>
      <c r="O385" s="9"/>
      <c r="P385" s="9"/>
      <c r="Q385" s="10"/>
    </row>
    <row r="386" spans="1:17" x14ac:dyDescent="0.3">
      <c r="A386" s="1">
        <f t="shared" si="17"/>
        <v>385</v>
      </c>
      <c r="B386" s="19" t="s">
        <v>419</v>
      </c>
      <c r="C386" s="1" t="s">
        <v>326</v>
      </c>
      <c r="D386" s="2" t="s">
        <v>321</v>
      </c>
      <c r="E386" s="18">
        <v>43446</v>
      </c>
      <c r="F386" s="3">
        <f t="shared" si="18"/>
        <v>45382</v>
      </c>
      <c r="G386" s="4">
        <v>79668</v>
      </c>
      <c r="H386" s="1">
        <f t="shared" si="19"/>
        <v>180</v>
      </c>
      <c r="I386" s="4">
        <v>21738.728230130051</v>
      </c>
      <c r="L386" s="8"/>
      <c r="M386" s="9"/>
      <c r="N386" s="9"/>
      <c r="O386" s="9"/>
      <c r="P386" s="9"/>
      <c r="Q386" s="10"/>
    </row>
    <row r="387" spans="1:17" x14ac:dyDescent="0.3">
      <c r="A387" s="1">
        <f t="shared" ref="A387:A450" si="20">A386+1</f>
        <v>386</v>
      </c>
      <c r="B387" s="19" t="s">
        <v>420</v>
      </c>
      <c r="C387" s="1" t="s">
        <v>326</v>
      </c>
      <c r="D387" s="2" t="s">
        <v>321</v>
      </c>
      <c r="E387" s="18">
        <v>43446</v>
      </c>
      <c r="F387" s="3">
        <f t="shared" si="18"/>
        <v>45382</v>
      </c>
      <c r="G387" s="4">
        <v>6900</v>
      </c>
      <c r="H387" s="1">
        <f t="shared" si="19"/>
        <v>180</v>
      </c>
      <c r="I387" s="4">
        <v>1882.7788420431966</v>
      </c>
      <c r="L387" s="8"/>
      <c r="M387" s="9"/>
      <c r="N387" s="9"/>
      <c r="O387" s="9"/>
      <c r="P387" s="9"/>
      <c r="Q387" s="10"/>
    </row>
    <row r="388" spans="1:17" x14ac:dyDescent="0.3">
      <c r="A388" s="1">
        <f t="shared" si="20"/>
        <v>387</v>
      </c>
      <c r="B388" s="19" t="s">
        <v>421</v>
      </c>
      <c r="C388" s="1" t="s">
        <v>326</v>
      </c>
      <c r="D388" s="2" t="s">
        <v>321</v>
      </c>
      <c r="E388" s="18">
        <v>43447</v>
      </c>
      <c r="F388" s="3">
        <f t="shared" ref="F388:F451" si="21">F387</f>
        <v>45382</v>
      </c>
      <c r="G388" s="4">
        <v>81234.149999999994</v>
      </c>
      <c r="H388" s="1">
        <f t="shared" si="19"/>
        <v>180</v>
      </c>
      <c r="I388" s="4">
        <v>22166.078097299032</v>
      </c>
      <c r="L388" s="8"/>
      <c r="M388" s="9"/>
      <c r="N388" s="9"/>
      <c r="O388" s="9"/>
      <c r="P388" s="9"/>
      <c r="Q388" s="10"/>
    </row>
    <row r="389" spans="1:17" x14ac:dyDescent="0.3">
      <c r="A389" s="1">
        <f t="shared" si="20"/>
        <v>388</v>
      </c>
      <c r="B389" s="19" t="s">
        <v>422</v>
      </c>
      <c r="C389" s="1" t="s">
        <v>326</v>
      </c>
      <c r="D389" s="2" t="s">
        <v>321</v>
      </c>
      <c r="E389" s="18">
        <v>43451</v>
      </c>
      <c r="F389" s="3">
        <f t="shared" si="21"/>
        <v>45382</v>
      </c>
      <c r="G389" s="4">
        <v>1003000</v>
      </c>
      <c r="H389" s="1">
        <f t="shared" si="19"/>
        <v>180</v>
      </c>
      <c r="I389" s="4">
        <v>273685.09834338061</v>
      </c>
      <c r="L389" s="8"/>
      <c r="M389" s="9"/>
      <c r="N389" s="9"/>
      <c r="O389" s="9"/>
      <c r="P389" s="9"/>
      <c r="Q389" s="10"/>
    </row>
    <row r="390" spans="1:17" x14ac:dyDescent="0.3">
      <c r="A390" s="1">
        <f t="shared" si="20"/>
        <v>389</v>
      </c>
      <c r="B390" s="19" t="s">
        <v>423</v>
      </c>
      <c r="C390" s="1" t="s">
        <v>326</v>
      </c>
      <c r="D390" s="2" t="s">
        <v>321</v>
      </c>
      <c r="E390" s="18">
        <v>43451</v>
      </c>
      <c r="F390" s="3">
        <f t="shared" si="21"/>
        <v>45382</v>
      </c>
      <c r="G390" s="4">
        <v>1003000</v>
      </c>
      <c r="H390" s="1">
        <f t="shared" si="19"/>
        <v>180</v>
      </c>
      <c r="I390" s="4">
        <v>273685.09834338061</v>
      </c>
      <c r="L390" s="8"/>
      <c r="M390" s="9"/>
      <c r="N390" s="9"/>
      <c r="O390" s="9"/>
      <c r="P390" s="9"/>
      <c r="Q390" s="10"/>
    </row>
    <row r="391" spans="1:17" x14ac:dyDescent="0.3">
      <c r="A391" s="1">
        <f t="shared" si="20"/>
        <v>390</v>
      </c>
      <c r="B391" s="19" t="s">
        <v>424</v>
      </c>
      <c r="C391" s="1" t="s">
        <v>326</v>
      </c>
      <c r="D391" s="2" t="s">
        <v>321</v>
      </c>
      <c r="E391" s="18">
        <v>43453</v>
      </c>
      <c r="F391" s="3">
        <f t="shared" si="21"/>
        <v>45382</v>
      </c>
      <c r="G391" s="4">
        <v>17125</v>
      </c>
      <c r="H391" s="1">
        <f t="shared" si="19"/>
        <v>180</v>
      </c>
      <c r="I391" s="4">
        <v>4672.8387927521362</v>
      </c>
      <c r="L391" s="8"/>
      <c r="M391" s="9"/>
      <c r="N391" s="9"/>
      <c r="O391" s="9"/>
      <c r="P391" s="9"/>
      <c r="Q391" s="10"/>
    </row>
    <row r="392" spans="1:17" x14ac:dyDescent="0.3">
      <c r="A392" s="1">
        <f t="shared" si="20"/>
        <v>391</v>
      </c>
      <c r="B392" s="19" t="s">
        <v>425</v>
      </c>
      <c r="C392" s="1" t="s">
        <v>326</v>
      </c>
      <c r="D392" s="2" t="s">
        <v>321</v>
      </c>
      <c r="E392" s="18">
        <v>43456</v>
      </c>
      <c r="F392" s="3">
        <f t="shared" si="21"/>
        <v>45382</v>
      </c>
      <c r="G392" s="4">
        <v>11623</v>
      </c>
      <c r="H392" s="1">
        <f t="shared" si="19"/>
        <v>180</v>
      </c>
      <c r="I392" s="4">
        <v>3171.5273160968218</v>
      </c>
      <c r="L392" s="8"/>
      <c r="M392" s="9"/>
      <c r="N392" s="9"/>
      <c r="O392" s="9"/>
      <c r="P392" s="9"/>
      <c r="Q392" s="10"/>
    </row>
    <row r="393" spans="1:17" x14ac:dyDescent="0.3">
      <c r="A393" s="1">
        <f t="shared" si="20"/>
        <v>392</v>
      </c>
      <c r="B393" s="19" t="s">
        <v>426</v>
      </c>
      <c r="C393" s="1" t="s">
        <v>326</v>
      </c>
      <c r="D393" s="2" t="s">
        <v>321</v>
      </c>
      <c r="E393" s="18">
        <v>43458</v>
      </c>
      <c r="F393" s="3">
        <f t="shared" si="21"/>
        <v>45382</v>
      </c>
      <c r="G393" s="4">
        <v>1100</v>
      </c>
      <c r="H393" s="1">
        <f t="shared" si="19"/>
        <v>180</v>
      </c>
      <c r="I393" s="4">
        <v>300.15314873152408</v>
      </c>
      <c r="L393" s="8"/>
      <c r="M393" s="9"/>
      <c r="N393" s="9"/>
      <c r="O393" s="9"/>
      <c r="P393" s="9"/>
      <c r="Q393" s="10"/>
    </row>
    <row r="394" spans="1:17" x14ac:dyDescent="0.3">
      <c r="A394" s="1">
        <f t="shared" si="20"/>
        <v>393</v>
      </c>
      <c r="B394" s="19" t="s">
        <v>427</v>
      </c>
      <c r="C394" s="1" t="s">
        <v>326</v>
      </c>
      <c r="D394" s="2" t="s">
        <v>321</v>
      </c>
      <c r="E394" s="18">
        <v>43462</v>
      </c>
      <c r="F394" s="3">
        <f t="shared" si="21"/>
        <v>45382</v>
      </c>
      <c r="G394" s="4">
        <v>35224</v>
      </c>
      <c r="H394" s="1">
        <f t="shared" si="19"/>
        <v>180</v>
      </c>
      <c r="I394" s="4">
        <v>9611.4495553810939</v>
      </c>
      <c r="L394" s="8"/>
      <c r="M394" s="9"/>
      <c r="N394" s="9"/>
      <c r="O394" s="9"/>
      <c r="P394" s="9"/>
      <c r="Q394" s="10"/>
    </row>
    <row r="395" spans="1:17" x14ac:dyDescent="0.3">
      <c r="A395" s="1">
        <f t="shared" si="20"/>
        <v>394</v>
      </c>
      <c r="B395" s="19" t="s">
        <v>428</v>
      </c>
      <c r="C395" s="1" t="s">
        <v>326</v>
      </c>
      <c r="D395" s="2" t="s">
        <v>321</v>
      </c>
      <c r="E395" s="18">
        <v>43469</v>
      </c>
      <c r="F395" s="3">
        <f t="shared" si="21"/>
        <v>45382</v>
      </c>
      <c r="G395" s="4">
        <v>1320</v>
      </c>
      <c r="H395" s="1">
        <f t="shared" si="19"/>
        <v>180</v>
      </c>
      <c r="I395" s="4">
        <v>352.69199327124386</v>
      </c>
      <c r="L395" s="8"/>
      <c r="M395" s="9"/>
      <c r="N395" s="9"/>
      <c r="O395" s="9"/>
      <c r="P395" s="9"/>
      <c r="Q395" s="10"/>
    </row>
    <row r="396" spans="1:17" x14ac:dyDescent="0.3">
      <c r="A396" s="1">
        <f t="shared" si="20"/>
        <v>395</v>
      </c>
      <c r="B396" s="19" t="s">
        <v>429</v>
      </c>
      <c r="C396" s="1" t="s">
        <v>326</v>
      </c>
      <c r="D396" s="2" t="s">
        <v>321</v>
      </c>
      <c r="E396" s="18">
        <v>43480</v>
      </c>
      <c r="F396" s="3">
        <f t="shared" si="21"/>
        <v>45382</v>
      </c>
      <c r="G396" s="4">
        <v>7160</v>
      </c>
      <c r="H396" s="1">
        <f t="shared" si="19"/>
        <v>180</v>
      </c>
      <c r="I396" s="4">
        <v>1913.0868725925045</v>
      </c>
      <c r="L396" s="8"/>
      <c r="M396" s="9"/>
      <c r="N396" s="9"/>
      <c r="O396" s="9"/>
      <c r="P396" s="9"/>
      <c r="Q396" s="10"/>
    </row>
    <row r="397" spans="1:17" x14ac:dyDescent="0.3">
      <c r="A397" s="1">
        <f t="shared" si="20"/>
        <v>396</v>
      </c>
      <c r="B397" s="19" t="s">
        <v>430</v>
      </c>
      <c r="C397" s="1" t="s">
        <v>326</v>
      </c>
      <c r="D397" s="2" t="s">
        <v>321</v>
      </c>
      <c r="E397" s="18">
        <v>43482</v>
      </c>
      <c r="F397" s="3">
        <f t="shared" si="21"/>
        <v>45382</v>
      </c>
      <c r="G397" s="4">
        <v>8960</v>
      </c>
      <c r="H397" s="1">
        <f t="shared" si="19"/>
        <v>180</v>
      </c>
      <c r="I397" s="4">
        <v>2394.0304997805642</v>
      </c>
      <c r="L397" s="8"/>
      <c r="M397" s="9"/>
      <c r="N397" s="9"/>
      <c r="O397" s="9"/>
      <c r="P397" s="9"/>
      <c r="Q397" s="10"/>
    </row>
    <row r="398" spans="1:17" x14ac:dyDescent="0.3">
      <c r="A398" s="1">
        <f t="shared" si="20"/>
        <v>397</v>
      </c>
      <c r="B398" s="19" t="s">
        <v>431</v>
      </c>
      <c r="C398" s="1" t="s">
        <v>326</v>
      </c>
      <c r="D398" s="2" t="s">
        <v>321</v>
      </c>
      <c r="E398" s="18">
        <v>43483</v>
      </c>
      <c r="F398" s="3">
        <f t="shared" si="21"/>
        <v>45382</v>
      </c>
      <c r="G398" s="4">
        <v>19880</v>
      </c>
      <c r="H398" s="1">
        <f t="shared" si="19"/>
        <v>180</v>
      </c>
      <c r="I398" s="4">
        <v>5311.7551713881276</v>
      </c>
      <c r="L398" s="8"/>
      <c r="M398" s="9"/>
      <c r="N398" s="9"/>
      <c r="O398" s="9"/>
      <c r="P398" s="9"/>
      <c r="Q398" s="10"/>
    </row>
    <row r="399" spans="1:17" x14ac:dyDescent="0.3">
      <c r="A399" s="1">
        <f t="shared" si="20"/>
        <v>398</v>
      </c>
      <c r="B399" s="19" t="s">
        <v>432</v>
      </c>
      <c r="C399" s="1" t="s">
        <v>326</v>
      </c>
      <c r="D399" s="2" t="s">
        <v>321</v>
      </c>
      <c r="E399" s="18">
        <v>43484</v>
      </c>
      <c r="F399" s="3">
        <f t="shared" si="21"/>
        <v>45382</v>
      </c>
      <c r="G399" s="4">
        <v>1500</v>
      </c>
      <c r="H399" s="1">
        <f t="shared" si="19"/>
        <v>180</v>
      </c>
      <c r="I399" s="4">
        <v>400.78635599004986</v>
      </c>
      <c r="L399" s="8"/>
      <c r="M399" s="9"/>
      <c r="N399" s="9"/>
      <c r="O399" s="9"/>
      <c r="P399" s="9"/>
      <c r="Q399" s="10"/>
    </row>
    <row r="400" spans="1:17" x14ac:dyDescent="0.3">
      <c r="A400" s="1">
        <f t="shared" si="20"/>
        <v>399</v>
      </c>
      <c r="B400" s="19" t="s">
        <v>433</v>
      </c>
      <c r="C400" s="1" t="s">
        <v>326</v>
      </c>
      <c r="D400" s="2" t="s">
        <v>321</v>
      </c>
      <c r="E400" s="18">
        <v>43486</v>
      </c>
      <c r="F400" s="3">
        <f t="shared" si="21"/>
        <v>45382</v>
      </c>
      <c r="G400" s="4">
        <v>4234</v>
      </c>
      <c r="H400" s="1">
        <f t="shared" si="19"/>
        <v>180</v>
      </c>
      <c r="I400" s="4">
        <v>1131.286287507914</v>
      </c>
      <c r="L400" s="8"/>
      <c r="M400" s="9"/>
      <c r="N400" s="9"/>
      <c r="O400" s="9"/>
      <c r="P400" s="9"/>
      <c r="Q400" s="10"/>
    </row>
    <row r="401" spans="1:17" x14ac:dyDescent="0.3">
      <c r="A401" s="1">
        <f t="shared" si="20"/>
        <v>400</v>
      </c>
      <c r="B401" s="19" t="s">
        <v>434</v>
      </c>
      <c r="C401" s="1" t="s">
        <v>326</v>
      </c>
      <c r="D401" s="2" t="s">
        <v>321</v>
      </c>
      <c r="E401" s="18">
        <v>43486</v>
      </c>
      <c r="F401" s="3">
        <f t="shared" si="21"/>
        <v>45382</v>
      </c>
      <c r="G401" s="4">
        <v>1699</v>
      </c>
      <c r="H401" s="1">
        <f t="shared" si="19"/>
        <v>180</v>
      </c>
      <c r="I401" s="4">
        <v>453.95734588472976</v>
      </c>
      <c r="L401" s="8"/>
      <c r="M401" s="9"/>
      <c r="N401" s="9"/>
      <c r="O401" s="9"/>
      <c r="P401" s="9"/>
      <c r="Q401" s="10"/>
    </row>
    <row r="402" spans="1:17" s="4" customFormat="1" x14ac:dyDescent="0.3">
      <c r="A402" s="1">
        <f t="shared" si="20"/>
        <v>401</v>
      </c>
      <c r="B402" s="19" t="s">
        <v>435</v>
      </c>
      <c r="C402" s="1" t="s">
        <v>326</v>
      </c>
      <c r="D402" s="2" t="s">
        <v>321</v>
      </c>
      <c r="E402" s="18">
        <v>43495</v>
      </c>
      <c r="F402" s="3">
        <f t="shared" si="21"/>
        <v>45382</v>
      </c>
      <c r="G402" s="4">
        <v>18480</v>
      </c>
      <c r="H402" s="1">
        <f t="shared" si="19"/>
        <v>180</v>
      </c>
      <c r="I402" s="4">
        <v>4937.6879057974147</v>
      </c>
      <c r="J402" s="3"/>
      <c r="L402" s="8"/>
      <c r="M402" s="9"/>
      <c r="N402" s="9"/>
      <c r="O402" s="9"/>
      <c r="P402" s="9"/>
      <c r="Q402" s="10"/>
    </row>
    <row r="403" spans="1:17" x14ac:dyDescent="0.3">
      <c r="A403" s="1">
        <f t="shared" si="20"/>
        <v>402</v>
      </c>
      <c r="B403" s="19" t="s">
        <v>436</v>
      </c>
      <c r="C403" s="1" t="s">
        <v>326</v>
      </c>
      <c r="D403" s="2" t="s">
        <v>321</v>
      </c>
      <c r="E403" s="18">
        <v>43501</v>
      </c>
      <c r="F403" s="3">
        <f t="shared" si="21"/>
        <v>45382</v>
      </c>
      <c r="G403" s="4">
        <v>56140</v>
      </c>
      <c r="H403" s="1">
        <f t="shared" si="19"/>
        <v>180</v>
      </c>
      <c r="I403" s="4">
        <v>14712.265507290405</v>
      </c>
      <c r="L403" s="8"/>
      <c r="M403" s="9"/>
      <c r="N403" s="9"/>
      <c r="O403" s="9"/>
      <c r="P403" s="9"/>
      <c r="Q403" s="10"/>
    </row>
    <row r="404" spans="1:17" x14ac:dyDescent="0.3">
      <c r="A404" s="1">
        <f t="shared" si="20"/>
        <v>403</v>
      </c>
      <c r="B404" s="19" t="s">
        <v>437</v>
      </c>
      <c r="C404" s="1" t="s">
        <v>326</v>
      </c>
      <c r="D404" s="2" t="s">
        <v>321</v>
      </c>
      <c r="E404" s="18">
        <v>43501</v>
      </c>
      <c r="F404" s="3">
        <f t="shared" si="21"/>
        <v>45382</v>
      </c>
      <c r="G404" s="4">
        <v>69892</v>
      </c>
      <c r="H404" s="1">
        <f t="shared" si="19"/>
        <v>180</v>
      </c>
      <c r="I404" s="4">
        <v>18316.16780968188</v>
      </c>
      <c r="L404" s="8"/>
      <c r="M404" s="9"/>
      <c r="N404" s="9"/>
      <c r="O404" s="9"/>
      <c r="P404" s="9"/>
      <c r="Q404" s="10"/>
    </row>
    <row r="405" spans="1:17" x14ac:dyDescent="0.3">
      <c r="A405" s="1">
        <f t="shared" si="20"/>
        <v>404</v>
      </c>
      <c r="B405" s="19" t="s">
        <v>438</v>
      </c>
      <c r="C405" s="1" t="s">
        <v>326</v>
      </c>
      <c r="D405" s="2" t="s">
        <v>321</v>
      </c>
      <c r="E405" s="18">
        <v>43502</v>
      </c>
      <c r="F405" s="3">
        <f t="shared" si="21"/>
        <v>45382</v>
      </c>
      <c r="G405" s="4">
        <v>9263</v>
      </c>
      <c r="H405" s="1">
        <f t="shared" si="19"/>
        <v>180</v>
      </c>
      <c r="I405" s="4">
        <v>2427.4976023161921</v>
      </c>
      <c r="L405" s="8"/>
      <c r="M405" s="9"/>
      <c r="N405" s="9"/>
      <c r="O405" s="9"/>
      <c r="P405" s="9"/>
      <c r="Q405" s="10"/>
    </row>
    <row r="406" spans="1:17" x14ac:dyDescent="0.3">
      <c r="A406" s="1">
        <f t="shared" si="20"/>
        <v>405</v>
      </c>
      <c r="B406" s="19" t="s">
        <v>439</v>
      </c>
      <c r="C406" s="1" t="s">
        <v>326</v>
      </c>
      <c r="D406" s="2" t="s">
        <v>321</v>
      </c>
      <c r="E406" s="18">
        <v>43507</v>
      </c>
      <c r="F406" s="3">
        <f t="shared" si="21"/>
        <v>45382</v>
      </c>
      <c r="G406" s="4">
        <v>1399</v>
      </c>
      <c r="H406" s="1">
        <f t="shared" si="19"/>
        <v>180</v>
      </c>
      <c r="I406" s="4">
        <v>366.62735027964516</v>
      </c>
      <c r="L406" s="8"/>
      <c r="M406" s="9"/>
      <c r="N406" s="9"/>
      <c r="O406" s="9"/>
      <c r="P406" s="9"/>
      <c r="Q406" s="10"/>
    </row>
    <row r="407" spans="1:17" x14ac:dyDescent="0.3">
      <c r="A407" s="1">
        <f t="shared" si="20"/>
        <v>406</v>
      </c>
      <c r="B407" s="19" t="s">
        <v>440</v>
      </c>
      <c r="C407" s="1" t="s">
        <v>326</v>
      </c>
      <c r="D407" s="2" t="s">
        <v>321</v>
      </c>
      <c r="E407" s="18">
        <v>43519</v>
      </c>
      <c r="F407" s="3">
        <f t="shared" si="21"/>
        <v>45382</v>
      </c>
      <c r="G407" s="4">
        <v>36400</v>
      </c>
      <c r="H407" s="1">
        <f t="shared" si="19"/>
        <v>180</v>
      </c>
      <c r="I407" s="4">
        <v>9539.1247678192158</v>
      </c>
      <c r="L407" s="8"/>
      <c r="M407" s="9"/>
      <c r="N407" s="9"/>
      <c r="O407" s="9"/>
      <c r="P407" s="9"/>
      <c r="Q407" s="10"/>
    </row>
    <row r="408" spans="1:17" x14ac:dyDescent="0.3">
      <c r="A408" s="1">
        <f t="shared" si="20"/>
        <v>407</v>
      </c>
      <c r="B408" s="19" t="s">
        <v>441</v>
      </c>
      <c r="C408" s="1" t="s">
        <v>326</v>
      </c>
      <c r="D408" s="2" t="s">
        <v>321</v>
      </c>
      <c r="E408" s="18">
        <v>43519</v>
      </c>
      <c r="F408" s="3">
        <f t="shared" si="21"/>
        <v>45382</v>
      </c>
      <c r="G408" s="4">
        <v>1100</v>
      </c>
      <c r="H408" s="1">
        <f t="shared" si="19"/>
        <v>180</v>
      </c>
      <c r="I408" s="4">
        <v>288.27025397255869</v>
      </c>
      <c r="L408" s="8"/>
      <c r="M408" s="9"/>
      <c r="N408" s="9"/>
      <c r="O408" s="9"/>
      <c r="P408" s="9"/>
      <c r="Q408" s="10"/>
    </row>
    <row r="409" spans="1:17" x14ac:dyDescent="0.3">
      <c r="A409" s="1">
        <f t="shared" si="20"/>
        <v>408</v>
      </c>
      <c r="B409" s="19" t="s">
        <v>442</v>
      </c>
      <c r="C409" s="1" t="s">
        <v>326</v>
      </c>
      <c r="D409" s="2" t="s">
        <v>321</v>
      </c>
      <c r="E409" s="18">
        <v>43519</v>
      </c>
      <c r="F409" s="3">
        <f t="shared" si="21"/>
        <v>45382</v>
      </c>
      <c r="G409" s="4">
        <v>3270</v>
      </c>
      <c r="H409" s="1">
        <f t="shared" si="19"/>
        <v>180</v>
      </c>
      <c r="I409" s="4">
        <v>856.94884590024253</v>
      </c>
      <c r="L409" s="8"/>
      <c r="M409" s="9"/>
      <c r="N409" s="9"/>
      <c r="O409" s="9"/>
      <c r="P409" s="9"/>
      <c r="Q409" s="10"/>
    </row>
    <row r="410" spans="1:17" x14ac:dyDescent="0.3">
      <c r="A410" s="1">
        <f t="shared" si="20"/>
        <v>409</v>
      </c>
      <c r="B410" s="19" t="s">
        <v>443</v>
      </c>
      <c r="C410" s="1" t="s">
        <v>326</v>
      </c>
      <c r="D410" s="2" t="s">
        <v>321</v>
      </c>
      <c r="E410" s="18">
        <v>43522</v>
      </c>
      <c r="F410" s="3">
        <f t="shared" si="21"/>
        <v>45382</v>
      </c>
      <c r="G410" s="4">
        <v>50400</v>
      </c>
      <c r="H410" s="1">
        <f t="shared" si="19"/>
        <v>180</v>
      </c>
      <c r="I410" s="4">
        <v>13208.018909288145</v>
      </c>
      <c r="L410" s="8"/>
      <c r="M410" s="9"/>
      <c r="N410" s="9"/>
      <c r="O410" s="9"/>
      <c r="P410" s="9"/>
      <c r="Q410" s="10"/>
    </row>
    <row r="411" spans="1:17" x14ac:dyDescent="0.3">
      <c r="A411" s="1">
        <f t="shared" si="20"/>
        <v>410</v>
      </c>
      <c r="B411" s="19" t="s">
        <v>444</v>
      </c>
      <c r="C411" s="1" t="s">
        <v>326</v>
      </c>
      <c r="D411" s="2" t="s">
        <v>321</v>
      </c>
      <c r="E411" s="18">
        <v>43523</v>
      </c>
      <c r="F411" s="3">
        <f t="shared" si="21"/>
        <v>45382</v>
      </c>
      <c r="G411" s="4">
        <v>6115</v>
      </c>
      <c r="H411" s="1">
        <f t="shared" si="19"/>
        <v>180</v>
      </c>
      <c r="I411" s="4">
        <v>1602.5205482201786</v>
      </c>
      <c r="L411" s="8"/>
      <c r="M411" s="9"/>
      <c r="N411" s="9"/>
      <c r="O411" s="9"/>
      <c r="P411" s="9"/>
      <c r="Q411" s="10"/>
    </row>
    <row r="412" spans="1:17" x14ac:dyDescent="0.3">
      <c r="A412" s="1">
        <f t="shared" si="20"/>
        <v>411</v>
      </c>
      <c r="B412" s="19" t="s">
        <v>445</v>
      </c>
      <c r="C412" s="1" t="s">
        <v>326</v>
      </c>
      <c r="D412" s="2" t="s">
        <v>321</v>
      </c>
      <c r="E412" s="18">
        <v>43524</v>
      </c>
      <c r="F412" s="3">
        <f t="shared" si="21"/>
        <v>45382</v>
      </c>
      <c r="G412" s="4">
        <v>1699</v>
      </c>
      <c r="H412" s="1">
        <f t="shared" si="19"/>
        <v>180</v>
      </c>
      <c r="I412" s="4">
        <v>445.24651045397928</v>
      </c>
      <c r="L412" s="8"/>
      <c r="M412" s="9"/>
      <c r="N412" s="9"/>
      <c r="O412" s="9"/>
      <c r="P412" s="9"/>
      <c r="Q412" s="10"/>
    </row>
    <row r="413" spans="1:17" x14ac:dyDescent="0.3">
      <c r="A413" s="1">
        <f t="shared" si="20"/>
        <v>412</v>
      </c>
      <c r="B413" s="19" t="s">
        <v>446</v>
      </c>
      <c r="C413" s="1" t="s">
        <v>326</v>
      </c>
      <c r="D413" s="2" t="s">
        <v>321</v>
      </c>
      <c r="E413" s="18">
        <v>43553</v>
      </c>
      <c r="F413" s="3">
        <f t="shared" si="21"/>
        <v>45382</v>
      </c>
      <c r="G413" s="4">
        <v>5495</v>
      </c>
      <c r="H413" s="1">
        <f t="shared" si="19"/>
        <v>180</v>
      </c>
      <c r="I413" s="4">
        <v>1408.8451999090844</v>
      </c>
      <c r="L413" s="8"/>
      <c r="M413" s="9"/>
      <c r="N413" s="9"/>
      <c r="O413" s="9"/>
      <c r="P413" s="9"/>
      <c r="Q413" s="10"/>
    </row>
    <row r="414" spans="1:17" x14ac:dyDescent="0.3">
      <c r="A414" s="1">
        <f t="shared" si="20"/>
        <v>413</v>
      </c>
      <c r="B414" s="21" t="s">
        <v>447</v>
      </c>
      <c r="C414" s="1" t="s">
        <v>448</v>
      </c>
      <c r="D414" s="2" t="s">
        <v>449</v>
      </c>
      <c r="E414" s="18">
        <v>43566</v>
      </c>
      <c r="F414" s="3">
        <f t="shared" si="21"/>
        <v>45382</v>
      </c>
      <c r="G414" s="4">
        <v>4032</v>
      </c>
      <c r="H414" s="1">
        <f t="shared" si="19"/>
        <v>180</v>
      </c>
      <c r="I414" s="4">
        <v>1001.7140663052508</v>
      </c>
      <c r="L414" s="8"/>
      <c r="M414" s="9"/>
      <c r="N414" s="9"/>
      <c r="O414" s="9"/>
      <c r="P414" s="9"/>
      <c r="Q414" s="10"/>
    </row>
    <row r="415" spans="1:17" x14ac:dyDescent="0.3">
      <c r="A415" s="1">
        <f t="shared" si="20"/>
        <v>414</v>
      </c>
      <c r="B415" s="21" t="s">
        <v>450</v>
      </c>
      <c r="C415" s="1" t="s">
        <v>448</v>
      </c>
      <c r="D415" s="2" t="s">
        <v>449</v>
      </c>
      <c r="E415" s="18">
        <v>43573</v>
      </c>
      <c r="F415" s="3">
        <f t="shared" si="21"/>
        <v>45382</v>
      </c>
      <c r="G415" s="4">
        <v>1399</v>
      </c>
      <c r="H415" s="1">
        <f t="shared" si="19"/>
        <v>180</v>
      </c>
      <c r="I415" s="4">
        <v>347.56894314510066</v>
      </c>
      <c r="L415" s="8"/>
      <c r="M415" s="9"/>
      <c r="N415" s="9"/>
      <c r="O415" s="9"/>
      <c r="P415" s="9"/>
      <c r="Q415" s="10"/>
    </row>
    <row r="416" spans="1:17" x14ac:dyDescent="0.3">
      <c r="A416" s="1">
        <f t="shared" si="20"/>
        <v>415</v>
      </c>
      <c r="B416" s="21" t="s">
        <v>451</v>
      </c>
      <c r="C416" s="1" t="s">
        <v>448</v>
      </c>
      <c r="D416" s="2" t="s">
        <v>449</v>
      </c>
      <c r="E416" s="18">
        <v>43581</v>
      </c>
      <c r="F416" s="3">
        <f t="shared" si="21"/>
        <v>45382</v>
      </c>
      <c r="G416" s="4">
        <v>27670</v>
      </c>
      <c r="H416" s="1">
        <f t="shared" si="19"/>
        <v>180</v>
      </c>
      <c r="I416" s="4">
        <v>6874.3621564152509</v>
      </c>
      <c r="L416" s="8"/>
      <c r="M416" s="9"/>
      <c r="N416" s="9"/>
      <c r="O416" s="9"/>
      <c r="P416" s="9"/>
      <c r="Q416" s="10"/>
    </row>
    <row r="417" spans="1:17" x14ac:dyDescent="0.3">
      <c r="A417" s="1">
        <f t="shared" si="20"/>
        <v>416</v>
      </c>
      <c r="B417" s="21" t="s">
        <v>452</v>
      </c>
      <c r="C417" s="1" t="s">
        <v>448</v>
      </c>
      <c r="D417" s="2" t="s">
        <v>449</v>
      </c>
      <c r="E417" s="18">
        <v>43581</v>
      </c>
      <c r="F417" s="3">
        <f t="shared" si="21"/>
        <v>45382</v>
      </c>
      <c r="G417" s="4">
        <v>11872</v>
      </c>
      <c r="H417" s="1">
        <f t="shared" si="19"/>
        <v>180</v>
      </c>
      <c r="I417" s="4">
        <v>2949.4914174543501</v>
      </c>
      <c r="L417" s="8"/>
      <c r="M417" s="9"/>
      <c r="N417" s="9"/>
      <c r="O417" s="9"/>
      <c r="P417" s="9"/>
      <c r="Q417" s="10"/>
    </row>
    <row r="418" spans="1:17" x14ac:dyDescent="0.3">
      <c r="A418" s="1">
        <f t="shared" si="20"/>
        <v>417</v>
      </c>
      <c r="B418" s="21" t="s">
        <v>453</v>
      </c>
      <c r="C418" s="1" t="s">
        <v>448</v>
      </c>
      <c r="D418" s="2" t="s">
        <v>449</v>
      </c>
      <c r="E418" s="18">
        <v>43599</v>
      </c>
      <c r="F418" s="3">
        <f t="shared" si="21"/>
        <v>45382</v>
      </c>
      <c r="G418" s="4">
        <v>1456</v>
      </c>
      <c r="H418" s="1">
        <f t="shared" si="19"/>
        <v>180</v>
      </c>
      <c r="I418" s="4">
        <v>353.9040165366066</v>
      </c>
      <c r="L418" s="8"/>
      <c r="M418" s="9"/>
      <c r="N418" s="9"/>
      <c r="O418" s="9"/>
      <c r="P418" s="9"/>
      <c r="Q418" s="10"/>
    </row>
    <row r="419" spans="1:17" x14ac:dyDescent="0.3">
      <c r="A419" s="1">
        <f t="shared" si="20"/>
        <v>418</v>
      </c>
      <c r="B419" s="21" t="s">
        <v>454</v>
      </c>
      <c r="C419" s="1" t="s">
        <v>448</v>
      </c>
      <c r="D419" s="2" t="s">
        <v>449</v>
      </c>
      <c r="E419" s="18">
        <v>43599</v>
      </c>
      <c r="F419" s="3">
        <f t="shared" si="21"/>
        <v>45382</v>
      </c>
      <c r="G419" s="4">
        <v>4365</v>
      </c>
      <c r="H419" s="1">
        <f t="shared" si="19"/>
        <v>180</v>
      </c>
      <c r="I419" s="4">
        <v>1060.9828517735496</v>
      </c>
      <c r="L419" s="8"/>
      <c r="M419" s="9"/>
      <c r="N419" s="9"/>
      <c r="O419" s="9"/>
      <c r="P419" s="9"/>
      <c r="Q419" s="10"/>
    </row>
    <row r="420" spans="1:17" x14ac:dyDescent="0.3">
      <c r="A420" s="1">
        <f t="shared" si="20"/>
        <v>419</v>
      </c>
      <c r="B420" s="21" t="s">
        <v>455</v>
      </c>
      <c r="C420" s="1" t="s">
        <v>448</v>
      </c>
      <c r="D420" s="2" t="s">
        <v>449</v>
      </c>
      <c r="E420" s="18">
        <v>43605</v>
      </c>
      <c r="F420" s="3">
        <f t="shared" si="21"/>
        <v>45382</v>
      </c>
      <c r="G420" s="4">
        <v>40106</v>
      </c>
      <c r="H420" s="1">
        <f t="shared" si="19"/>
        <v>180</v>
      </c>
      <c r="I420" s="4">
        <v>9748.4028071546327</v>
      </c>
      <c r="L420" s="8"/>
      <c r="M420" s="9"/>
      <c r="N420" s="9"/>
      <c r="O420" s="9"/>
      <c r="P420" s="9"/>
      <c r="Q420" s="10"/>
    </row>
    <row r="421" spans="1:17" x14ac:dyDescent="0.3">
      <c r="A421" s="1">
        <f t="shared" si="20"/>
        <v>420</v>
      </c>
      <c r="B421" s="21" t="s">
        <v>456</v>
      </c>
      <c r="C421" s="1" t="s">
        <v>448</v>
      </c>
      <c r="D421" s="2" t="s">
        <v>449</v>
      </c>
      <c r="E421" s="18">
        <v>43606</v>
      </c>
      <c r="F421" s="3">
        <f t="shared" si="21"/>
        <v>45382</v>
      </c>
      <c r="G421" s="4">
        <v>2912</v>
      </c>
      <c r="H421" s="1">
        <f t="shared" si="19"/>
        <v>180</v>
      </c>
      <c r="I421" s="4">
        <v>707.80803307321321</v>
      </c>
      <c r="L421" s="8"/>
      <c r="M421" s="9"/>
      <c r="N421" s="9"/>
      <c r="O421" s="9"/>
      <c r="P421" s="9"/>
      <c r="Q421" s="10"/>
    </row>
    <row r="422" spans="1:17" x14ac:dyDescent="0.3">
      <c r="A422" s="1">
        <f t="shared" si="20"/>
        <v>421</v>
      </c>
      <c r="B422" s="21" t="s">
        <v>457</v>
      </c>
      <c r="C422" s="1" t="s">
        <v>448</v>
      </c>
      <c r="D422" s="2" t="s">
        <v>449</v>
      </c>
      <c r="E422" s="18">
        <v>43617</v>
      </c>
      <c r="F422" s="3">
        <f t="shared" si="21"/>
        <v>45382</v>
      </c>
      <c r="G422" s="4">
        <v>10950</v>
      </c>
      <c r="H422" s="1">
        <f t="shared" si="19"/>
        <v>180</v>
      </c>
      <c r="I422" s="4">
        <v>2604.6163012038342</v>
      </c>
      <c r="L422" s="8"/>
      <c r="M422" s="9"/>
      <c r="N422" s="9"/>
      <c r="O422" s="9"/>
      <c r="P422" s="9"/>
      <c r="Q422" s="10"/>
    </row>
    <row r="423" spans="1:17" x14ac:dyDescent="0.3">
      <c r="A423" s="1">
        <f t="shared" si="20"/>
        <v>422</v>
      </c>
      <c r="B423" s="21" t="s">
        <v>458</v>
      </c>
      <c r="C423" s="1" t="s">
        <v>448</v>
      </c>
      <c r="D423" s="2" t="s">
        <v>449</v>
      </c>
      <c r="E423" s="18">
        <v>43627</v>
      </c>
      <c r="F423" s="3">
        <f t="shared" si="21"/>
        <v>45382</v>
      </c>
      <c r="G423" s="4">
        <v>36960</v>
      </c>
      <c r="H423" s="1">
        <f t="shared" si="19"/>
        <v>180</v>
      </c>
      <c r="I423" s="4">
        <v>8791.4720084469136</v>
      </c>
      <c r="L423" s="8"/>
      <c r="M423" s="9"/>
      <c r="N423" s="9"/>
      <c r="O423" s="9"/>
      <c r="P423" s="9"/>
      <c r="Q423" s="10"/>
    </row>
    <row r="424" spans="1:17" x14ac:dyDescent="0.3">
      <c r="A424" s="1">
        <f t="shared" si="20"/>
        <v>423</v>
      </c>
      <c r="B424" s="21" t="s">
        <v>459</v>
      </c>
      <c r="C424" s="1" t="s">
        <v>448</v>
      </c>
      <c r="D424" s="2" t="s">
        <v>449</v>
      </c>
      <c r="E424" s="18">
        <v>43640</v>
      </c>
      <c r="F424" s="3">
        <f t="shared" si="21"/>
        <v>45382</v>
      </c>
      <c r="G424" s="4">
        <v>2016</v>
      </c>
      <c r="H424" s="1">
        <f t="shared" si="19"/>
        <v>180</v>
      </c>
      <c r="I424" s="4">
        <v>479.53483682437707</v>
      </c>
      <c r="L424" s="8"/>
      <c r="M424" s="9"/>
      <c r="N424" s="9"/>
      <c r="O424" s="9"/>
      <c r="P424" s="9"/>
      <c r="Q424" s="10"/>
    </row>
    <row r="425" spans="1:17" x14ac:dyDescent="0.3">
      <c r="A425" s="1">
        <f t="shared" si="20"/>
        <v>424</v>
      </c>
      <c r="B425" s="21" t="s">
        <v>460</v>
      </c>
      <c r="C425" s="1" t="s">
        <v>448</v>
      </c>
      <c r="D425" s="2" t="s">
        <v>449</v>
      </c>
      <c r="E425" s="18">
        <v>43642</v>
      </c>
      <c r="F425" s="3">
        <f t="shared" si="21"/>
        <v>45382</v>
      </c>
      <c r="G425" s="4">
        <v>20272</v>
      </c>
      <c r="H425" s="1">
        <f t="shared" si="19"/>
        <v>180</v>
      </c>
      <c r="I425" s="4">
        <v>4821.9891925117909</v>
      </c>
      <c r="L425" s="8"/>
      <c r="M425" s="9"/>
      <c r="N425" s="9"/>
      <c r="O425" s="9"/>
      <c r="P425" s="9"/>
      <c r="Q425" s="10"/>
    </row>
    <row r="426" spans="1:17" x14ac:dyDescent="0.3">
      <c r="A426" s="1">
        <f t="shared" si="20"/>
        <v>425</v>
      </c>
      <c r="B426" s="21" t="s">
        <v>461</v>
      </c>
      <c r="C426" s="1" t="s">
        <v>448</v>
      </c>
      <c r="D426" s="2" t="s">
        <v>449</v>
      </c>
      <c r="E426" s="18">
        <v>43644</v>
      </c>
      <c r="F426" s="3">
        <f t="shared" si="21"/>
        <v>45382</v>
      </c>
      <c r="G426" s="4">
        <v>3725</v>
      </c>
      <c r="H426" s="1">
        <f t="shared" si="19"/>
        <v>180</v>
      </c>
      <c r="I426" s="4">
        <v>886.04527141408948</v>
      </c>
      <c r="L426" s="8"/>
      <c r="M426" s="9"/>
      <c r="N426" s="9"/>
      <c r="O426" s="9"/>
      <c r="P426" s="9"/>
      <c r="Q426" s="10"/>
    </row>
    <row r="427" spans="1:17" x14ac:dyDescent="0.3">
      <c r="A427" s="1">
        <f t="shared" si="20"/>
        <v>426</v>
      </c>
      <c r="B427" s="21" t="s">
        <v>462</v>
      </c>
      <c r="C427" s="1" t="s">
        <v>448</v>
      </c>
      <c r="D427" s="2" t="s">
        <v>449</v>
      </c>
      <c r="E427" s="18">
        <v>43678</v>
      </c>
      <c r="F427" s="3">
        <f t="shared" si="21"/>
        <v>45382</v>
      </c>
      <c r="G427" s="4">
        <v>33678</v>
      </c>
      <c r="H427" s="1">
        <f t="shared" si="19"/>
        <v>180</v>
      </c>
      <c r="I427" s="4">
        <v>7648.795691008736</v>
      </c>
      <c r="L427" s="8"/>
      <c r="M427" s="9"/>
      <c r="N427" s="9"/>
      <c r="O427" s="9"/>
      <c r="P427" s="9"/>
      <c r="Q427" s="10"/>
    </row>
    <row r="428" spans="1:17" x14ac:dyDescent="0.3">
      <c r="A428" s="1">
        <f t="shared" si="20"/>
        <v>427</v>
      </c>
      <c r="B428" s="21" t="s">
        <v>463</v>
      </c>
      <c r="C428" s="1" t="s">
        <v>448</v>
      </c>
      <c r="D428" s="2" t="s">
        <v>449</v>
      </c>
      <c r="E428" s="18">
        <v>43678</v>
      </c>
      <c r="F428" s="3">
        <f t="shared" si="21"/>
        <v>45382</v>
      </c>
      <c r="G428" s="4">
        <v>104400</v>
      </c>
      <c r="H428" s="1">
        <f t="shared" si="19"/>
        <v>180</v>
      </c>
      <c r="I428" s="4">
        <v>23710.857834233386</v>
      </c>
      <c r="L428" s="8"/>
      <c r="M428" s="9"/>
      <c r="N428" s="9"/>
      <c r="O428" s="9"/>
      <c r="P428" s="9"/>
      <c r="Q428" s="10"/>
    </row>
    <row r="429" spans="1:17" x14ac:dyDescent="0.3">
      <c r="A429" s="1">
        <f t="shared" si="20"/>
        <v>428</v>
      </c>
      <c r="B429" s="21" t="s">
        <v>464</v>
      </c>
      <c r="C429" s="1" t="s">
        <v>448</v>
      </c>
      <c r="D429" s="2" t="s">
        <v>449</v>
      </c>
      <c r="E429" s="18">
        <v>43698</v>
      </c>
      <c r="F429" s="3">
        <f t="shared" si="21"/>
        <v>45382</v>
      </c>
      <c r="G429" s="4">
        <v>1699</v>
      </c>
      <c r="H429" s="1">
        <f t="shared" si="19"/>
        <v>180</v>
      </c>
      <c r="I429" s="4">
        <v>385.86922854753379</v>
      </c>
      <c r="L429" s="8"/>
      <c r="M429" s="9"/>
      <c r="N429" s="9"/>
      <c r="O429" s="9"/>
      <c r="P429" s="9"/>
      <c r="Q429" s="10"/>
    </row>
    <row r="430" spans="1:17" x14ac:dyDescent="0.3">
      <c r="A430" s="1">
        <f t="shared" si="20"/>
        <v>429</v>
      </c>
      <c r="B430" s="21" t="s">
        <v>465</v>
      </c>
      <c r="C430" s="1" t="s">
        <v>448</v>
      </c>
      <c r="D430" s="2" t="s">
        <v>449</v>
      </c>
      <c r="E430" s="18">
        <v>43738</v>
      </c>
      <c r="F430" s="3">
        <f t="shared" si="21"/>
        <v>45382</v>
      </c>
      <c r="G430" s="4">
        <v>20300</v>
      </c>
      <c r="H430" s="1">
        <f t="shared" si="19"/>
        <v>180</v>
      </c>
      <c r="I430" s="4">
        <v>4504.867758505522</v>
      </c>
      <c r="L430" s="8"/>
      <c r="M430" s="9"/>
      <c r="N430" s="9"/>
      <c r="O430" s="9"/>
      <c r="P430" s="9"/>
      <c r="Q430" s="10"/>
    </row>
    <row r="431" spans="1:17" x14ac:dyDescent="0.3">
      <c r="A431" s="1">
        <f t="shared" si="20"/>
        <v>430</v>
      </c>
      <c r="B431" s="21" t="s">
        <v>466</v>
      </c>
      <c r="C431" s="1" t="s">
        <v>448</v>
      </c>
      <c r="D431" s="2" t="s">
        <v>449</v>
      </c>
      <c r="E431" s="18">
        <v>43743</v>
      </c>
      <c r="F431" s="3">
        <f t="shared" si="21"/>
        <v>45382</v>
      </c>
      <c r="G431" s="4">
        <v>38960</v>
      </c>
      <c r="H431" s="1">
        <f t="shared" ref="H431:H494" si="22">15*12</f>
        <v>180</v>
      </c>
      <c r="I431" s="4">
        <v>8436.4249283999616</v>
      </c>
      <c r="L431" s="8"/>
      <c r="M431" s="9"/>
      <c r="N431" s="9"/>
      <c r="O431" s="9"/>
      <c r="P431" s="9"/>
      <c r="Q431" s="10"/>
    </row>
    <row r="432" spans="1:17" x14ac:dyDescent="0.3">
      <c r="A432" s="1">
        <f t="shared" si="20"/>
        <v>431</v>
      </c>
      <c r="B432" s="21" t="s">
        <v>467</v>
      </c>
      <c r="C432" s="1" t="s">
        <v>448</v>
      </c>
      <c r="D432" s="2" t="s">
        <v>449</v>
      </c>
      <c r="E432" s="18">
        <v>43771</v>
      </c>
      <c r="F432" s="3">
        <f t="shared" si="21"/>
        <v>45382</v>
      </c>
      <c r="G432" s="4">
        <v>1568</v>
      </c>
      <c r="H432" s="1">
        <f t="shared" si="22"/>
        <v>180</v>
      </c>
      <c r="I432" s="4">
        <v>331.38149743878944</v>
      </c>
      <c r="L432" s="8"/>
      <c r="M432" s="9"/>
      <c r="N432" s="9"/>
      <c r="O432" s="9"/>
      <c r="P432" s="9"/>
      <c r="Q432" s="10"/>
    </row>
    <row r="433" spans="1:17" x14ac:dyDescent="0.3">
      <c r="A433" s="1">
        <f t="shared" si="20"/>
        <v>432</v>
      </c>
      <c r="B433" s="21" t="s">
        <v>468</v>
      </c>
      <c r="C433" s="1" t="s">
        <v>448</v>
      </c>
      <c r="D433" s="2" t="s">
        <v>449</v>
      </c>
      <c r="E433" s="18">
        <v>43775</v>
      </c>
      <c r="F433" s="3">
        <f t="shared" si="21"/>
        <v>45382</v>
      </c>
      <c r="G433" s="4">
        <v>18219</v>
      </c>
      <c r="H433" s="1">
        <f t="shared" si="22"/>
        <v>180</v>
      </c>
      <c r="I433" s="4">
        <v>3850.4078455595054</v>
      </c>
      <c r="L433" s="8"/>
      <c r="M433" s="9"/>
      <c r="N433" s="9"/>
      <c r="O433" s="9"/>
      <c r="P433" s="9"/>
      <c r="Q433" s="10"/>
    </row>
    <row r="434" spans="1:17" x14ac:dyDescent="0.3">
      <c r="A434" s="1">
        <f t="shared" si="20"/>
        <v>433</v>
      </c>
      <c r="B434" s="21" t="s">
        <v>469</v>
      </c>
      <c r="C434" s="1" t="s">
        <v>448</v>
      </c>
      <c r="D434" s="2" t="s">
        <v>449</v>
      </c>
      <c r="E434" s="18">
        <v>43775</v>
      </c>
      <c r="F434" s="3">
        <f t="shared" si="21"/>
        <v>45382</v>
      </c>
      <c r="G434" s="4">
        <v>2571</v>
      </c>
      <c r="H434" s="1">
        <f t="shared" si="22"/>
        <v>180</v>
      </c>
      <c r="I434" s="4">
        <v>543.35575887444361</v>
      </c>
      <c r="L434" s="8"/>
      <c r="M434" s="9"/>
      <c r="N434" s="9"/>
      <c r="O434" s="9"/>
      <c r="P434" s="9"/>
      <c r="Q434" s="10"/>
    </row>
    <row r="435" spans="1:17" x14ac:dyDescent="0.3">
      <c r="A435" s="1">
        <f t="shared" si="20"/>
        <v>434</v>
      </c>
      <c r="B435" s="21" t="s">
        <v>470</v>
      </c>
      <c r="C435" s="1" t="s">
        <v>448</v>
      </c>
      <c r="D435" s="2" t="s">
        <v>449</v>
      </c>
      <c r="E435" s="18">
        <v>43775</v>
      </c>
      <c r="F435" s="3">
        <f t="shared" si="21"/>
        <v>45382</v>
      </c>
      <c r="G435" s="4">
        <v>47200</v>
      </c>
      <c r="H435" s="1">
        <f t="shared" si="22"/>
        <v>180</v>
      </c>
      <c r="I435" s="4">
        <v>9975.2593616778468</v>
      </c>
      <c r="L435" s="8"/>
      <c r="M435" s="9"/>
      <c r="N435" s="9"/>
      <c r="O435" s="9"/>
      <c r="P435" s="9"/>
      <c r="Q435" s="10"/>
    </row>
    <row r="436" spans="1:17" x14ac:dyDescent="0.3">
      <c r="A436" s="1">
        <f t="shared" si="20"/>
        <v>435</v>
      </c>
      <c r="B436" s="21" t="s">
        <v>471</v>
      </c>
      <c r="C436" s="1" t="s">
        <v>448</v>
      </c>
      <c r="D436" s="2" t="s">
        <v>449</v>
      </c>
      <c r="E436" s="18">
        <v>43780</v>
      </c>
      <c r="F436" s="3">
        <f t="shared" si="21"/>
        <v>45382</v>
      </c>
      <c r="G436" s="4">
        <v>33040</v>
      </c>
      <c r="H436" s="1">
        <f t="shared" si="22"/>
        <v>180</v>
      </c>
      <c r="I436" s="4">
        <v>6982.6815531744924</v>
      </c>
      <c r="L436" s="8"/>
      <c r="M436" s="9"/>
      <c r="N436" s="9"/>
      <c r="O436" s="9"/>
      <c r="P436" s="9"/>
      <c r="Q436" s="10"/>
    </row>
    <row r="437" spans="1:17" x14ac:dyDescent="0.3">
      <c r="A437" s="1">
        <f t="shared" si="20"/>
        <v>436</v>
      </c>
      <c r="B437" s="21" t="s">
        <v>472</v>
      </c>
      <c r="C437" s="1" t="s">
        <v>448</v>
      </c>
      <c r="D437" s="2" t="s">
        <v>449</v>
      </c>
      <c r="E437" s="18">
        <v>43780</v>
      </c>
      <c r="F437" s="3">
        <f t="shared" si="21"/>
        <v>45382</v>
      </c>
      <c r="G437" s="4">
        <v>32696</v>
      </c>
      <c r="H437" s="1">
        <f t="shared" si="22"/>
        <v>180</v>
      </c>
      <c r="I437" s="4">
        <v>6909.9805103690423</v>
      </c>
      <c r="L437" s="8"/>
      <c r="M437" s="9"/>
      <c r="N437" s="9"/>
      <c r="O437" s="9"/>
      <c r="P437" s="9"/>
      <c r="Q437" s="10"/>
    </row>
    <row r="438" spans="1:17" x14ac:dyDescent="0.3">
      <c r="A438" s="1">
        <f t="shared" si="20"/>
        <v>437</v>
      </c>
      <c r="B438" s="21" t="s">
        <v>473</v>
      </c>
      <c r="C438" s="1" t="s">
        <v>448</v>
      </c>
      <c r="D438" s="2" t="s">
        <v>449</v>
      </c>
      <c r="E438" s="18">
        <v>43780</v>
      </c>
      <c r="F438" s="3">
        <f t="shared" si="21"/>
        <v>45382</v>
      </c>
      <c r="G438" s="4">
        <v>33224</v>
      </c>
      <c r="H438" s="1">
        <f t="shared" si="22"/>
        <v>180</v>
      </c>
      <c r="I438" s="4">
        <v>7021.5681574657792</v>
      </c>
      <c r="L438" s="8"/>
      <c r="M438" s="9"/>
      <c r="N438" s="9"/>
      <c r="O438" s="9"/>
      <c r="P438" s="9"/>
      <c r="Q438" s="10"/>
    </row>
    <row r="439" spans="1:17" x14ac:dyDescent="0.3">
      <c r="A439" s="1">
        <f t="shared" si="20"/>
        <v>438</v>
      </c>
      <c r="B439" s="21" t="s">
        <v>474</v>
      </c>
      <c r="C439" s="1" t="s">
        <v>448</v>
      </c>
      <c r="D439" s="2" t="s">
        <v>449</v>
      </c>
      <c r="E439" s="18">
        <v>43794</v>
      </c>
      <c r="F439" s="3">
        <f t="shared" si="21"/>
        <v>45382</v>
      </c>
      <c r="G439" s="4">
        <v>26880</v>
      </c>
      <c r="H439" s="1">
        <f t="shared" si="22"/>
        <v>180</v>
      </c>
      <c r="I439" s="4">
        <v>5680.8256703792485</v>
      </c>
      <c r="L439" s="8"/>
      <c r="M439" s="9"/>
      <c r="N439" s="9"/>
      <c r="O439" s="9"/>
      <c r="P439" s="9"/>
      <c r="Q439" s="10"/>
    </row>
    <row r="440" spans="1:17" x14ac:dyDescent="0.3">
      <c r="A440" s="1">
        <f t="shared" si="20"/>
        <v>439</v>
      </c>
      <c r="B440" s="21" t="s">
        <v>475</v>
      </c>
      <c r="C440" s="1" t="s">
        <v>448</v>
      </c>
      <c r="D440" s="2" t="s">
        <v>449</v>
      </c>
      <c r="E440" s="18">
        <v>43795</v>
      </c>
      <c r="F440" s="3">
        <f t="shared" si="21"/>
        <v>45382</v>
      </c>
      <c r="G440" s="4">
        <v>2128</v>
      </c>
      <c r="H440" s="1">
        <f t="shared" si="22"/>
        <v>180</v>
      </c>
      <c r="I440" s="4">
        <v>449.73203223835708</v>
      </c>
      <c r="L440" s="8"/>
      <c r="M440" s="9"/>
      <c r="N440" s="9"/>
      <c r="O440" s="9"/>
      <c r="P440" s="9"/>
      <c r="Q440" s="10"/>
    </row>
    <row r="441" spans="1:17" x14ac:dyDescent="0.3">
      <c r="A441" s="1">
        <f t="shared" si="20"/>
        <v>440</v>
      </c>
      <c r="B441" s="21" t="s">
        <v>476</v>
      </c>
      <c r="C441" s="1" t="s">
        <v>448</v>
      </c>
      <c r="D441" s="2" t="s">
        <v>449</v>
      </c>
      <c r="E441" s="18">
        <v>43818</v>
      </c>
      <c r="F441" s="3">
        <f t="shared" si="21"/>
        <v>45382</v>
      </c>
      <c r="G441" s="4">
        <v>67033</v>
      </c>
      <c r="H441" s="1">
        <f t="shared" si="22"/>
        <v>180</v>
      </c>
      <c r="I441" s="4">
        <v>13806.562287335832</v>
      </c>
      <c r="L441" s="8"/>
      <c r="M441" s="9"/>
      <c r="N441" s="9"/>
      <c r="O441" s="9"/>
      <c r="P441" s="9"/>
      <c r="Q441" s="10"/>
    </row>
    <row r="442" spans="1:17" x14ac:dyDescent="0.3">
      <c r="A442" s="1">
        <f t="shared" si="20"/>
        <v>441</v>
      </c>
      <c r="B442" s="21" t="s">
        <v>477</v>
      </c>
      <c r="C442" s="1" t="s">
        <v>448</v>
      </c>
      <c r="D442" s="2" t="s">
        <v>449</v>
      </c>
      <c r="E442" s="18">
        <v>43855</v>
      </c>
      <c r="F442" s="3">
        <f t="shared" si="21"/>
        <v>45382</v>
      </c>
      <c r="G442" s="4">
        <v>2799</v>
      </c>
      <c r="H442" s="1">
        <f t="shared" si="22"/>
        <v>180</v>
      </c>
      <c r="I442" s="4">
        <v>561.46050407496625</v>
      </c>
      <c r="L442" s="8"/>
      <c r="M442" s="9"/>
      <c r="N442" s="9"/>
      <c r="O442" s="9"/>
      <c r="P442" s="9"/>
      <c r="Q442" s="10"/>
    </row>
    <row r="443" spans="1:17" x14ac:dyDescent="0.3">
      <c r="A443" s="1">
        <f t="shared" si="20"/>
        <v>442</v>
      </c>
      <c r="B443" s="19" t="s">
        <v>478</v>
      </c>
      <c r="C443" s="1" t="s">
        <v>448</v>
      </c>
      <c r="D443" s="2" t="s">
        <v>321</v>
      </c>
      <c r="E443" s="18">
        <v>43610</v>
      </c>
      <c r="F443" s="3">
        <f t="shared" si="21"/>
        <v>45382</v>
      </c>
      <c r="G443" s="4">
        <v>9397</v>
      </c>
      <c r="H443" s="1">
        <f t="shared" si="22"/>
        <v>180</v>
      </c>
      <c r="I443" s="4">
        <v>2284.0906891445688</v>
      </c>
      <c r="L443" s="8"/>
      <c r="M443" s="9"/>
      <c r="N443" s="9"/>
      <c r="O443" s="9"/>
      <c r="P443" s="9"/>
      <c r="Q443" s="10"/>
    </row>
    <row r="444" spans="1:17" x14ac:dyDescent="0.3">
      <c r="A444" s="1">
        <f t="shared" si="20"/>
        <v>443</v>
      </c>
      <c r="B444" s="19" t="s">
        <v>479</v>
      </c>
      <c r="C444" s="1" t="s">
        <v>448</v>
      </c>
      <c r="D444" s="2" t="s">
        <v>321</v>
      </c>
      <c r="E444" s="18">
        <v>43617</v>
      </c>
      <c r="F444" s="3">
        <f t="shared" si="21"/>
        <v>45382</v>
      </c>
      <c r="G444" s="4">
        <v>5595</v>
      </c>
      <c r="H444" s="1">
        <f t="shared" si="22"/>
        <v>180</v>
      </c>
      <c r="I444" s="4">
        <v>1330.8518908890821</v>
      </c>
      <c r="L444" s="8"/>
      <c r="M444" s="9"/>
      <c r="N444" s="9"/>
      <c r="O444" s="9"/>
      <c r="P444" s="9"/>
      <c r="Q444" s="10"/>
    </row>
    <row r="445" spans="1:17" x14ac:dyDescent="0.3">
      <c r="A445" s="1">
        <f t="shared" si="20"/>
        <v>444</v>
      </c>
      <c r="B445" s="19" t="s">
        <v>480</v>
      </c>
      <c r="C445" s="1" t="s">
        <v>448</v>
      </c>
      <c r="D445" s="2" t="s">
        <v>321</v>
      </c>
      <c r="E445" s="18">
        <v>43658</v>
      </c>
      <c r="F445" s="3">
        <f t="shared" si="21"/>
        <v>45382</v>
      </c>
      <c r="G445" s="4">
        <v>7423</v>
      </c>
      <c r="H445" s="1">
        <f t="shared" si="22"/>
        <v>180</v>
      </c>
      <c r="I445" s="4">
        <v>1725.7724719657056</v>
      </c>
      <c r="L445" s="8"/>
      <c r="M445" s="9"/>
      <c r="N445" s="9"/>
      <c r="O445" s="9"/>
      <c r="P445" s="9"/>
      <c r="Q445" s="10"/>
    </row>
    <row r="446" spans="1:17" x14ac:dyDescent="0.3">
      <c r="A446" s="1">
        <f t="shared" si="20"/>
        <v>445</v>
      </c>
      <c r="B446" s="19" t="s">
        <v>481</v>
      </c>
      <c r="C446" s="1" t="s">
        <v>448</v>
      </c>
      <c r="D446" s="2" t="s">
        <v>321</v>
      </c>
      <c r="E446" s="18">
        <v>43703</v>
      </c>
      <c r="F446" s="3">
        <f t="shared" si="21"/>
        <v>45382</v>
      </c>
      <c r="G446" s="4">
        <v>22176</v>
      </c>
      <c r="H446" s="1">
        <f t="shared" si="22"/>
        <v>180</v>
      </c>
      <c r="I446" s="4">
        <v>5036.5132503061268</v>
      </c>
      <c r="L446" s="8"/>
      <c r="M446" s="9"/>
      <c r="N446" s="9"/>
      <c r="O446" s="9"/>
      <c r="P446" s="9"/>
      <c r="Q446" s="10"/>
    </row>
    <row r="447" spans="1:17" x14ac:dyDescent="0.3">
      <c r="A447" s="1">
        <f t="shared" si="20"/>
        <v>446</v>
      </c>
      <c r="B447" s="19" t="s">
        <v>482</v>
      </c>
      <c r="C447" s="1" t="s">
        <v>448</v>
      </c>
      <c r="D447" s="2" t="s">
        <v>321</v>
      </c>
      <c r="E447" s="18">
        <v>43729</v>
      </c>
      <c r="F447" s="3">
        <f t="shared" si="21"/>
        <v>45382</v>
      </c>
      <c r="G447" s="4">
        <v>6061</v>
      </c>
      <c r="H447" s="1">
        <f t="shared" si="22"/>
        <v>180</v>
      </c>
      <c r="I447" s="4">
        <v>1345.0248021823629</v>
      </c>
      <c r="L447" s="8"/>
      <c r="M447" s="9"/>
      <c r="N447" s="9"/>
      <c r="O447" s="9"/>
      <c r="P447" s="9"/>
      <c r="Q447" s="10"/>
    </row>
    <row r="448" spans="1:17" x14ac:dyDescent="0.3">
      <c r="A448" s="1">
        <f t="shared" si="20"/>
        <v>447</v>
      </c>
      <c r="B448" s="19" t="s">
        <v>483</v>
      </c>
      <c r="C448" s="1" t="s">
        <v>448</v>
      </c>
      <c r="D448" s="2" t="s">
        <v>321</v>
      </c>
      <c r="E448" s="18">
        <v>43729</v>
      </c>
      <c r="F448" s="3">
        <f t="shared" si="21"/>
        <v>45382</v>
      </c>
      <c r="G448" s="4">
        <v>19088</v>
      </c>
      <c r="H448" s="1">
        <f t="shared" si="22"/>
        <v>180</v>
      </c>
      <c r="I448" s="4">
        <v>4235.9071810026308</v>
      </c>
      <c r="L448" s="8"/>
      <c r="M448" s="9"/>
      <c r="N448" s="9"/>
      <c r="O448" s="9"/>
      <c r="P448" s="9"/>
      <c r="Q448" s="10"/>
    </row>
    <row r="449" spans="1:17" x14ac:dyDescent="0.3">
      <c r="A449" s="1">
        <f t="shared" si="20"/>
        <v>448</v>
      </c>
      <c r="B449" s="19" t="s">
        <v>484</v>
      </c>
      <c r="C449" s="1" t="s">
        <v>448</v>
      </c>
      <c r="D449" s="2" t="s">
        <v>321</v>
      </c>
      <c r="E449" s="18">
        <v>43806</v>
      </c>
      <c r="F449" s="3">
        <f t="shared" si="21"/>
        <v>45382</v>
      </c>
      <c r="G449" s="4">
        <v>770</v>
      </c>
      <c r="H449" s="1">
        <f t="shared" si="22"/>
        <v>180</v>
      </c>
      <c r="I449" s="4">
        <v>158.59431863781407</v>
      </c>
      <c r="L449" s="8"/>
      <c r="M449" s="9"/>
      <c r="N449" s="9"/>
      <c r="O449" s="9"/>
      <c r="P449" s="9"/>
      <c r="Q449" s="10"/>
    </row>
    <row r="450" spans="1:17" x14ac:dyDescent="0.3">
      <c r="A450" s="1">
        <f t="shared" si="20"/>
        <v>449</v>
      </c>
      <c r="B450" s="19" t="s">
        <v>485</v>
      </c>
      <c r="C450" s="1" t="s">
        <v>448</v>
      </c>
      <c r="D450" s="2" t="s">
        <v>321</v>
      </c>
      <c r="E450" s="18">
        <v>43851</v>
      </c>
      <c r="F450" s="3">
        <f t="shared" si="21"/>
        <v>45382</v>
      </c>
      <c r="G450" s="4">
        <v>6200</v>
      </c>
      <c r="H450" s="1">
        <f t="shared" si="22"/>
        <v>180</v>
      </c>
      <c r="I450" s="4">
        <v>1243.6781440745949</v>
      </c>
      <c r="L450" s="8"/>
      <c r="M450" s="9"/>
      <c r="N450" s="9"/>
      <c r="O450" s="9"/>
      <c r="P450" s="9"/>
      <c r="Q450" s="10"/>
    </row>
    <row r="451" spans="1:17" x14ac:dyDescent="0.3">
      <c r="A451" s="1">
        <f t="shared" ref="A451:A514" si="23">A450+1</f>
        <v>450</v>
      </c>
      <c r="B451" s="19" t="s">
        <v>486</v>
      </c>
      <c r="C451" s="1" t="s">
        <v>448</v>
      </c>
      <c r="D451" s="2" t="s">
        <v>321</v>
      </c>
      <c r="E451" s="18">
        <v>43865</v>
      </c>
      <c r="F451" s="3">
        <f t="shared" si="21"/>
        <v>45382</v>
      </c>
      <c r="G451" s="4">
        <v>18278</v>
      </c>
      <c r="H451" s="1">
        <f t="shared" si="22"/>
        <v>180</v>
      </c>
      <c r="I451" s="4">
        <v>3574.5680390443122</v>
      </c>
      <c r="L451" s="8"/>
      <c r="M451" s="9"/>
      <c r="N451" s="9"/>
      <c r="O451" s="9"/>
      <c r="P451" s="9"/>
      <c r="Q451" s="10"/>
    </row>
    <row r="452" spans="1:17" x14ac:dyDescent="0.3">
      <c r="A452" s="1">
        <f t="shared" si="23"/>
        <v>451</v>
      </c>
      <c r="B452" s="19" t="s">
        <v>487</v>
      </c>
      <c r="C452" s="1" t="s">
        <v>448</v>
      </c>
      <c r="D452" s="2" t="s">
        <v>321</v>
      </c>
      <c r="E452" s="18">
        <v>43888</v>
      </c>
      <c r="F452" s="3">
        <f t="shared" ref="F452:F515" si="24">F451</f>
        <v>45382</v>
      </c>
      <c r="G452" s="4">
        <v>11325</v>
      </c>
      <c r="H452" s="1">
        <f t="shared" si="22"/>
        <v>180</v>
      </c>
      <c r="I452" s="4">
        <v>2214.7928133371724</v>
      </c>
      <c r="L452" s="8"/>
      <c r="M452" s="9"/>
      <c r="N452" s="9"/>
      <c r="O452" s="9"/>
      <c r="P452" s="9"/>
      <c r="Q452" s="10"/>
    </row>
    <row r="453" spans="1:17" x14ac:dyDescent="0.3">
      <c r="A453" s="1">
        <f t="shared" si="23"/>
        <v>452</v>
      </c>
      <c r="B453" s="19" t="s">
        <v>488</v>
      </c>
      <c r="C453" s="1" t="s">
        <v>448</v>
      </c>
      <c r="D453" s="2" t="s">
        <v>321</v>
      </c>
      <c r="E453" s="18">
        <v>43894</v>
      </c>
      <c r="F453" s="3">
        <f t="shared" si="24"/>
        <v>45382</v>
      </c>
      <c r="G453" s="4">
        <v>3245</v>
      </c>
      <c r="H453" s="1">
        <f t="shared" si="22"/>
        <v>180</v>
      </c>
      <c r="I453" s="4">
        <v>617.17843386799177</v>
      </c>
      <c r="L453" s="8"/>
      <c r="M453" s="9"/>
      <c r="N453" s="9"/>
      <c r="O453" s="9"/>
      <c r="P453" s="9"/>
      <c r="Q453" s="10"/>
    </row>
    <row r="454" spans="1:17" x14ac:dyDescent="0.3">
      <c r="A454" s="1">
        <f t="shared" si="23"/>
        <v>453</v>
      </c>
      <c r="B454" s="19" t="s">
        <v>489</v>
      </c>
      <c r="C454" s="1" t="s">
        <v>448</v>
      </c>
      <c r="D454" s="2" t="s">
        <v>321</v>
      </c>
      <c r="E454" s="18">
        <v>43894</v>
      </c>
      <c r="F454" s="3">
        <f t="shared" si="24"/>
        <v>45382</v>
      </c>
      <c r="G454" s="4">
        <v>4350</v>
      </c>
      <c r="H454" s="1">
        <f t="shared" si="22"/>
        <v>180</v>
      </c>
      <c r="I454" s="4">
        <v>827.34243060886422</v>
      </c>
      <c r="L454" s="8"/>
      <c r="M454" s="9"/>
      <c r="N454" s="9"/>
      <c r="O454" s="9"/>
      <c r="P454" s="9"/>
      <c r="Q454" s="10"/>
    </row>
    <row r="455" spans="1:17" x14ac:dyDescent="0.3">
      <c r="A455" s="1">
        <f t="shared" si="23"/>
        <v>454</v>
      </c>
      <c r="B455" s="19" t="s">
        <v>490</v>
      </c>
      <c r="C455" s="1" t="s">
        <v>448</v>
      </c>
      <c r="D455" s="2" t="s">
        <v>321</v>
      </c>
      <c r="E455" s="18">
        <v>43895</v>
      </c>
      <c r="F455" s="3">
        <f t="shared" si="24"/>
        <v>45382</v>
      </c>
      <c r="G455" s="4">
        <v>2870</v>
      </c>
      <c r="H455" s="1">
        <f t="shared" si="22"/>
        <v>180</v>
      </c>
      <c r="I455" s="4">
        <v>545.85581053964142</v>
      </c>
      <c r="L455" s="8"/>
      <c r="M455" s="9"/>
      <c r="N455" s="9"/>
      <c r="O455" s="9"/>
      <c r="P455" s="9"/>
      <c r="Q455" s="10"/>
    </row>
    <row r="456" spans="1:17" x14ac:dyDescent="0.3">
      <c r="A456" s="1">
        <f t="shared" si="23"/>
        <v>455</v>
      </c>
      <c r="B456" s="19" t="s">
        <v>491</v>
      </c>
      <c r="C456" s="1" t="s">
        <v>448</v>
      </c>
      <c r="D456" s="2" t="s">
        <v>321</v>
      </c>
      <c r="E456" s="18">
        <v>43903</v>
      </c>
      <c r="F456" s="3">
        <f t="shared" si="24"/>
        <v>45382</v>
      </c>
      <c r="G456" s="4">
        <v>14384</v>
      </c>
      <c r="H456" s="1">
        <f t="shared" si="22"/>
        <v>180</v>
      </c>
      <c r="I456" s="4">
        <v>2735.7456372133111</v>
      </c>
      <c r="L456" s="8"/>
      <c r="M456" s="9"/>
      <c r="N456" s="9"/>
      <c r="O456" s="9"/>
      <c r="P456" s="9"/>
      <c r="Q456" s="10"/>
    </row>
    <row r="457" spans="1:17" x14ac:dyDescent="0.3">
      <c r="A457" s="1">
        <f t="shared" si="23"/>
        <v>456</v>
      </c>
      <c r="B457" s="19" t="s">
        <v>492</v>
      </c>
      <c r="C457" s="1" t="s">
        <v>448</v>
      </c>
      <c r="D457" s="2" t="s">
        <v>61</v>
      </c>
      <c r="E457" s="18">
        <v>43698</v>
      </c>
      <c r="F457" s="3">
        <f t="shared" si="24"/>
        <v>45382</v>
      </c>
      <c r="G457" s="4">
        <v>42055</v>
      </c>
      <c r="H457" s="1">
        <f t="shared" si="22"/>
        <v>180</v>
      </c>
      <c r="I457" s="4">
        <v>9551.3422051598191</v>
      </c>
      <c r="L457" s="8"/>
      <c r="M457" s="9"/>
      <c r="N457" s="9"/>
      <c r="O457" s="9"/>
      <c r="P457" s="9"/>
      <c r="Q457" s="10"/>
    </row>
    <row r="458" spans="1:17" x14ac:dyDescent="0.3">
      <c r="A458" s="1">
        <f t="shared" si="23"/>
        <v>457</v>
      </c>
      <c r="B458" s="19" t="s">
        <v>493</v>
      </c>
      <c r="C458" s="1" t="s">
        <v>448</v>
      </c>
      <c r="D458" s="2" t="s">
        <v>61</v>
      </c>
      <c r="E458" s="18">
        <v>43720</v>
      </c>
      <c r="F458" s="3">
        <f t="shared" si="24"/>
        <v>45382</v>
      </c>
      <c r="G458" s="4">
        <v>626359</v>
      </c>
      <c r="H458" s="1">
        <f t="shared" si="22"/>
        <v>180</v>
      </c>
      <c r="I458" s="4">
        <v>138998.24947535762</v>
      </c>
      <c r="L458" s="8"/>
      <c r="M458" s="9"/>
      <c r="N458" s="9"/>
      <c r="O458" s="9"/>
      <c r="P458" s="9"/>
      <c r="Q458" s="10"/>
    </row>
    <row r="459" spans="1:17" x14ac:dyDescent="0.3">
      <c r="A459" s="1">
        <f t="shared" si="23"/>
        <v>458</v>
      </c>
      <c r="B459" s="19" t="s">
        <v>494</v>
      </c>
      <c r="C459" s="1" t="s">
        <v>448</v>
      </c>
      <c r="D459" s="2" t="s">
        <v>61</v>
      </c>
      <c r="E459" s="18">
        <v>43720</v>
      </c>
      <c r="F459" s="3">
        <f t="shared" si="24"/>
        <v>45382</v>
      </c>
      <c r="G459" s="4">
        <v>613305</v>
      </c>
      <c r="H459" s="1">
        <f t="shared" si="22"/>
        <v>180</v>
      </c>
      <c r="I459" s="4">
        <v>136101.37540050389</v>
      </c>
      <c r="L459" s="8"/>
      <c r="M459" s="9"/>
      <c r="N459" s="9"/>
      <c r="O459" s="9"/>
      <c r="P459" s="9"/>
      <c r="Q459" s="10"/>
    </row>
    <row r="460" spans="1:17" x14ac:dyDescent="0.3">
      <c r="A460" s="1">
        <f t="shared" si="23"/>
        <v>459</v>
      </c>
      <c r="B460" s="19" t="s">
        <v>495</v>
      </c>
      <c r="C460" s="1" t="s">
        <v>448</v>
      </c>
      <c r="D460" s="2" t="s">
        <v>61</v>
      </c>
      <c r="E460" s="18">
        <v>43720</v>
      </c>
      <c r="F460" s="3">
        <f t="shared" si="24"/>
        <v>45382</v>
      </c>
      <c r="G460" s="4">
        <v>625164</v>
      </c>
      <c r="H460" s="1">
        <f t="shared" si="22"/>
        <v>180</v>
      </c>
      <c r="I460" s="4">
        <v>138733.06144720915</v>
      </c>
      <c r="L460" s="8"/>
      <c r="M460" s="9"/>
      <c r="N460" s="9"/>
      <c r="O460" s="9"/>
      <c r="P460" s="9"/>
      <c r="Q460" s="10"/>
    </row>
    <row r="461" spans="1:17" x14ac:dyDescent="0.3">
      <c r="A461" s="1">
        <f t="shared" si="23"/>
        <v>460</v>
      </c>
      <c r="B461" s="19" t="s">
        <v>496</v>
      </c>
      <c r="C461" s="1" t="s">
        <v>448</v>
      </c>
      <c r="D461" s="2" t="s">
        <v>281</v>
      </c>
      <c r="E461" s="18">
        <v>43628</v>
      </c>
      <c r="F461" s="3">
        <f t="shared" si="24"/>
        <v>45382</v>
      </c>
      <c r="G461" s="4">
        <v>3200</v>
      </c>
      <c r="H461" s="1">
        <f t="shared" si="22"/>
        <v>180</v>
      </c>
      <c r="I461" s="4">
        <v>761.16640765774139</v>
      </c>
      <c r="L461" s="8"/>
      <c r="M461" s="9"/>
      <c r="N461" s="9"/>
      <c r="O461" s="9"/>
      <c r="P461" s="9"/>
      <c r="Q461" s="10"/>
    </row>
    <row r="462" spans="1:17" x14ac:dyDescent="0.3">
      <c r="A462" s="1">
        <f t="shared" si="23"/>
        <v>461</v>
      </c>
      <c r="B462" s="19" t="s">
        <v>497</v>
      </c>
      <c r="C462" s="1" t="s">
        <v>448</v>
      </c>
      <c r="D462" s="2" t="s">
        <v>281</v>
      </c>
      <c r="E462" s="18">
        <v>43775</v>
      </c>
      <c r="F462" s="3">
        <f t="shared" si="24"/>
        <v>45382</v>
      </c>
      <c r="G462" s="4">
        <v>56854</v>
      </c>
      <c r="H462" s="1">
        <f t="shared" si="22"/>
        <v>180</v>
      </c>
      <c r="I462" s="4">
        <v>12015.538045526107</v>
      </c>
      <c r="L462" s="8"/>
      <c r="M462" s="9"/>
      <c r="N462" s="9"/>
      <c r="O462" s="9"/>
      <c r="P462" s="9"/>
      <c r="Q462" s="10"/>
    </row>
    <row r="463" spans="1:17" x14ac:dyDescent="0.3">
      <c r="A463" s="1">
        <f t="shared" si="23"/>
        <v>462</v>
      </c>
      <c r="B463" s="21" t="s">
        <v>498</v>
      </c>
      <c r="C463" s="1" t="s">
        <v>448</v>
      </c>
      <c r="D463" s="2" t="s">
        <v>499</v>
      </c>
      <c r="E463" s="18">
        <v>43690</v>
      </c>
      <c r="F463" s="3">
        <f t="shared" si="24"/>
        <v>45382</v>
      </c>
      <c r="G463" s="4">
        <v>1100</v>
      </c>
      <c r="H463" s="1">
        <f t="shared" si="22"/>
        <v>180</v>
      </c>
      <c r="I463" s="4">
        <v>249.82704614613721</v>
      </c>
      <c r="L463" s="8"/>
      <c r="M463" s="9"/>
      <c r="N463" s="9"/>
      <c r="O463" s="9"/>
      <c r="P463" s="9"/>
      <c r="Q463" s="10"/>
    </row>
    <row r="464" spans="1:17" x14ac:dyDescent="0.3">
      <c r="A464" s="1">
        <f t="shared" si="23"/>
        <v>463</v>
      </c>
      <c r="B464" s="21" t="s">
        <v>500</v>
      </c>
      <c r="C464" s="1" t="s">
        <v>448</v>
      </c>
      <c r="D464" s="2" t="s">
        <v>499</v>
      </c>
      <c r="E464" s="18">
        <v>43729</v>
      </c>
      <c r="F464" s="3">
        <f t="shared" si="24"/>
        <v>45382</v>
      </c>
      <c r="G464" s="4">
        <v>1100</v>
      </c>
      <c r="H464" s="1">
        <f t="shared" si="22"/>
        <v>180</v>
      </c>
      <c r="I464" s="4">
        <v>244.10613469734355</v>
      </c>
      <c r="L464" s="8"/>
      <c r="M464" s="9"/>
      <c r="N464" s="9"/>
      <c r="O464" s="9"/>
      <c r="P464" s="9"/>
      <c r="Q464" s="10"/>
    </row>
    <row r="465" spans="1:17" x14ac:dyDescent="0.3">
      <c r="A465" s="1">
        <f t="shared" si="23"/>
        <v>464</v>
      </c>
      <c r="B465" s="21" t="s">
        <v>501</v>
      </c>
      <c r="C465" s="1" t="s">
        <v>448</v>
      </c>
      <c r="D465" s="2" t="s">
        <v>499</v>
      </c>
      <c r="E465" s="18">
        <v>43750</v>
      </c>
      <c r="F465" s="3">
        <f t="shared" si="24"/>
        <v>45382</v>
      </c>
      <c r="G465" s="4">
        <v>1200</v>
      </c>
      <c r="H465" s="1">
        <f t="shared" si="22"/>
        <v>180</v>
      </c>
      <c r="I465" s="4">
        <v>259.84881709650801</v>
      </c>
      <c r="L465" s="8"/>
      <c r="M465" s="9"/>
      <c r="N465" s="9"/>
      <c r="O465" s="9"/>
      <c r="P465" s="9"/>
      <c r="Q465" s="10"/>
    </row>
    <row r="466" spans="1:17" x14ac:dyDescent="0.3">
      <c r="A466" s="1">
        <f t="shared" si="23"/>
        <v>465</v>
      </c>
      <c r="B466" s="19" t="s">
        <v>502</v>
      </c>
      <c r="C466" s="1" t="s">
        <v>448</v>
      </c>
      <c r="D466" s="2" t="s">
        <v>17</v>
      </c>
      <c r="E466" s="18">
        <v>43595</v>
      </c>
      <c r="F466" s="3">
        <f t="shared" si="24"/>
        <v>45382</v>
      </c>
      <c r="G466" s="4">
        <v>10200</v>
      </c>
      <c r="H466" s="1">
        <f t="shared" si="22"/>
        <v>180</v>
      </c>
      <c r="I466" s="4">
        <v>2479.2726433196344</v>
      </c>
      <c r="L466" s="8"/>
      <c r="M466" s="9"/>
      <c r="N466" s="9"/>
      <c r="O466" s="9"/>
      <c r="P466" s="9"/>
      <c r="Q466" s="10"/>
    </row>
    <row r="467" spans="1:17" x14ac:dyDescent="0.3">
      <c r="A467" s="1">
        <f t="shared" si="23"/>
        <v>466</v>
      </c>
      <c r="B467" s="19" t="s">
        <v>503</v>
      </c>
      <c r="C467" s="1" t="s">
        <v>448</v>
      </c>
      <c r="D467" s="2" t="s">
        <v>504</v>
      </c>
      <c r="E467" s="18">
        <v>43586</v>
      </c>
      <c r="F467" s="3">
        <f t="shared" si="24"/>
        <v>45382</v>
      </c>
      <c r="G467" s="4">
        <v>4885</v>
      </c>
      <c r="H467" s="1">
        <f t="shared" si="22"/>
        <v>180</v>
      </c>
      <c r="I467" s="4">
        <v>1187.3771433937659</v>
      </c>
      <c r="L467" s="8"/>
      <c r="M467" s="9"/>
      <c r="N467" s="9"/>
      <c r="O467" s="9"/>
      <c r="P467" s="9"/>
      <c r="Q467" s="10"/>
    </row>
    <row r="468" spans="1:17" x14ac:dyDescent="0.3">
      <c r="A468" s="1">
        <f t="shared" si="23"/>
        <v>467</v>
      </c>
      <c r="B468" s="19" t="s">
        <v>505</v>
      </c>
      <c r="C468" s="1" t="s">
        <v>448</v>
      </c>
      <c r="D468" s="2" t="s">
        <v>504</v>
      </c>
      <c r="E468" s="18">
        <v>43596</v>
      </c>
      <c r="F468" s="3">
        <f t="shared" si="24"/>
        <v>45382</v>
      </c>
      <c r="G468" s="4">
        <v>354</v>
      </c>
      <c r="H468" s="1">
        <f t="shared" si="22"/>
        <v>180</v>
      </c>
      <c r="I468" s="4">
        <v>86.045344679916724</v>
      </c>
      <c r="L468" s="8"/>
      <c r="M468" s="9"/>
      <c r="N468" s="9"/>
      <c r="O468" s="9"/>
      <c r="P468" s="9"/>
      <c r="Q468" s="10"/>
    </row>
    <row r="469" spans="1:17" x14ac:dyDescent="0.3">
      <c r="A469" s="1">
        <f t="shared" si="23"/>
        <v>468</v>
      </c>
      <c r="B469" s="19" t="s">
        <v>506</v>
      </c>
      <c r="C469" s="1" t="s">
        <v>448</v>
      </c>
      <c r="D469" s="2" t="s">
        <v>504</v>
      </c>
      <c r="E469" s="18">
        <v>43599</v>
      </c>
      <c r="F469" s="3">
        <f t="shared" si="24"/>
        <v>45382</v>
      </c>
      <c r="G469" s="4">
        <v>2535</v>
      </c>
      <c r="H469" s="1">
        <f t="shared" si="22"/>
        <v>180</v>
      </c>
      <c r="I469" s="4">
        <v>616.17217164855629</v>
      </c>
      <c r="L469" s="8"/>
      <c r="M469" s="9"/>
      <c r="N469" s="9"/>
      <c r="O469" s="9"/>
      <c r="P469" s="9"/>
      <c r="Q469" s="10"/>
    </row>
    <row r="470" spans="1:17" x14ac:dyDescent="0.3">
      <c r="A470" s="1">
        <f t="shared" si="23"/>
        <v>469</v>
      </c>
      <c r="B470" s="19" t="s">
        <v>507</v>
      </c>
      <c r="C470" s="1" t="s">
        <v>448</v>
      </c>
      <c r="D470" s="2" t="s">
        <v>504</v>
      </c>
      <c r="E470" s="18">
        <v>43615</v>
      </c>
      <c r="F470" s="3">
        <f t="shared" si="24"/>
        <v>45382</v>
      </c>
      <c r="G470" s="4">
        <v>821</v>
      </c>
      <c r="H470" s="1">
        <f t="shared" si="22"/>
        <v>180</v>
      </c>
      <c r="I470" s="4">
        <v>199.55714119268822</v>
      </c>
      <c r="L470" s="8"/>
      <c r="M470" s="9"/>
      <c r="N470" s="9"/>
      <c r="O470" s="9"/>
      <c r="P470" s="9"/>
      <c r="Q470" s="10"/>
    </row>
    <row r="471" spans="1:17" x14ac:dyDescent="0.3">
      <c r="A471" s="1">
        <f t="shared" si="23"/>
        <v>470</v>
      </c>
      <c r="B471" s="19" t="s">
        <v>508</v>
      </c>
      <c r="C471" s="1" t="s">
        <v>448</v>
      </c>
      <c r="D471" s="2" t="s">
        <v>504</v>
      </c>
      <c r="E471" s="18">
        <v>43622</v>
      </c>
      <c r="F471" s="3">
        <f t="shared" si="24"/>
        <v>45382</v>
      </c>
      <c r="G471" s="4">
        <v>212</v>
      </c>
      <c r="H471" s="1">
        <f t="shared" si="22"/>
        <v>180</v>
      </c>
      <c r="I471" s="4">
        <v>50.427274507325365</v>
      </c>
      <c r="L471" s="8"/>
      <c r="M471" s="9"/>
      <c r="N471" s="9"/>
      <c r="O471" s="9"/>
      <c r="P471" s="9"/>
      <c r="Q471" s="10"/>
    </row>
    <row r="472" spans="1:17" x14ac:dyDescent="0.3">
      <c r="A472" s="1">
        <f t="shared" si="23"/>
        <v>471</v>
      </c>
      <c r="B472" s="19" t="s">
        <v>509</v>
      </c>
      <c r="C472" s="1" t="s">
        <v>448</v>
      </c>
      <c r="D472" s="2" t="s">
        <v>504</v>
      </c>
      <c r="E472" s="18">
        <v>43669</v>
      </c>
      <c r="F472" s="3">
        <f t="shared" si="24"/>
        <v>45382</v>
      </c>
      <c r="G472" s="4">
        <v>4588</v>
      </c>
      <c r="H472" s="1">
        <f t="shared" si="22"/>
        <v>180</v>
      </c>
      <c r="I472" s="4">
        <v>1066.6636267518061</v>
      </c>
      <c r="L472" s="8"/>
      <c r="M472" s="9"/>
      <c r="N472" s="9"/>
      <c r="O472" s="9"/>
      <c r="P472" s="9"/>
      <c r="Q472" s="10"/>
    </row>
    <row r="473" spans="1:17" x14ac:dyDescent="0.3">
      <c r="A473" s="1">
        <f t="shared" si="23"/>
        <v>472</v>
      </c>
      <c r="B473" s="19" t="s">
        <v>510</v>
      </c>
      <c r="C473" s="1" t="s">
        <v>448</v>
      </c>
      <c r="D473" s="2" t="s">
        <v>504</v>
      </c>
      <c r="E473" s="18">
        <v>43690</v>
      </c>
      <c r="F473" s="3">
        <f t="shared" si="24"/>
        <v>45382</v>
      </c>
      <c r="G473" s="4">
        <v>1374</v>
      </c>
      <c r="H473" s="1">
        <f t="shared" si="22"/>
        <v>180</v>
      </c>
      <c r="I473" s="4">
        <v>312.05669218617504</v>
      </c>
      <c r="L473" s="8"/>
      <c r="M473" s="9"/>
      <c r="N473" s="9"/>
      <c r="O473" s="9"/>
      <c r="P473" s="9"/>
      <c r="Q473" s="10"/>
    </row>
    <row r="474" spans="1:17" x14ac:dyDescent="0.3">
      <c r="A474" s="1">
        <f t="shared" si="23"/>
        <v>473</v>
      </c>
      <c r="B474" s="19" t="s">
        <v>511</v>
      </c>
      <c r="C474" s="1" t="s">
        <v>448</v>
      </c>
      <c r="D474" s="2" t="s">
        <v>504</v>
      </c>
      <c r="E474" s="18">
        <v>43697</v>
      </c>
      <c r="F474" s="3">
        <f t="shared" si="24"/>
        <v>45382</v>
      </c>
      <c r="G474" s="4">
        <v>892</v>
      </c>
      <c r="H474" s="1">
        <f t="shared" si="22"/>
        <v>180</v>
      </c>
      <c r="I474" s="4">
        <v>202.58702287486767</v>
      </c>
      <c r="L474" s="8"/>
      <c r="M474" s="9"/>
      <c r="N474" s="9"/>
      <c r="O474" s="9"/>
      <c r="P474" s="9"/>
      <c r="Q474" s="10"/>
    </row>
    <row r="475" spans="1:17" x14ac:dyDescent="0.3">
      <c r="A475" s="1">
        <f t="shared" si="23"/>
        <v>474</v>
      </c>
      <c r="B475" s="19" t="s">
        <v>512</v>
      </c>
      <c r="C475" s="1" t="s">
        <v>448</v>
      </c>
      <c r="D475" s="2" t="s">
        <v>504</v>
      </c>
      <c r="E475" s="18">
        <v>43705</v>
      </c>
      <c r="F475" s="3">
        <f t="shared" si="24"/>
        <v>45382</v>
      </c>
      <c r="G475" s="4">
        <v>52628</v>
      </c>
      <c r="H475" s="1">
        <f t="shared" si="22"/>
        <v>180</v>
      </c>
      <c r="I475" s="4">
        <v>11952.634349617192</v>
      </c>
      <c r="L475" s="8"/>
      <c r="M475" s="9"/>
      <c r="N475" s="9"/>
      <c r="O475" s="9"/>
      <c r="P475" s="9"/>
      <c r="Q475" s="10"/>
    </row>
    <row r="476" spans="1:17" x14ac:dyDescent="0.3">
      <c r="A476" s="1">
        <f t="shared" si="23"/>
        <v>475</v>
      </c>
      <c r="B476" s="19" t="s">
        <v>513</v>
      </c>
      <c r="C476" s="1" t="s">
        <v>448</v>
      </c>
      <c r="D476" s="2" t="s">
        <v>504</v>
      </c>
      <c r="E476" s="18">
        <v>43712</v>
      </c>
      <c r="F476" s="3">
        <f t="shared" si="24"/>
        <v>45382</v>
      </c>
      <c r="G476" s="4">
        <v>142</v>
      </c>
      <c r="H476" s="1">
        <f t="shared" si="22"/>
        <v>180</v>
      </c>
      <c r="I476" s="4">
        <v>31.511882842747987</v>
      </c>
      <c r="L476" s="8"/>
      <c r="M476" s="9"/>
      <c r="N476" s="9"/>
      <c r="O476" s="9"/>
      <c r="P476" s="9"/>
      <c r="Q476" s="10"/>
    </row>
    <row r="477" spans="1:17" x14ac:dyDescent="0.3">
      <c r="A477" s="1">
        <f t="shared" si="23"/>
        <v>476</v>
      </c>
      <c r="B477" s="19" t="s">
        <v>514</v>
      </c>
      <c r="C477" s="1" t="s">
        <v>448</v>
      </c>
      <c r="D477" s="2" t="s">
        <v>504</v>
      </c>
      <c r="E477" s="18">
        <v>43725</v>
      </c>
      <c r="F477" s="3">
        <f t="shared" si="24"/>
        <v>45382</v>
      </c>
      <c r="G477" s="4">
        <v>260</v>
      </c>
      <c r="H477" s="1">
        <f t="shared" si="22"/>
        <v>180</v>
      </c>
      <c r="I477" s="4">
        <v>57.697813655735743</v>
      </c>
      <c r="L477" s="8"/>
      <c r="M477" s="9"/>
      <c r="N477" s="9"/>
      <c r="O477" s="9"/>
      <c r="P477" s="9"/>
      <c r="Q477" s="10"/>
    </row>
    <row r="478" spans="1:17" x14ac:dyDescent="0.3">
      <c r="A478" s="1">
        <f t="shared" si="23"/>
        <v>477</v>
      </c>
      <c r="B478" s="19" t="s">
        <v>515</v>
      </c>
      <c r="C478" s="1" t="s">
        <v>448</v>
      </c>
      <c r="D478" s="2" t="s">
        <v>504</v>
      </c>
      <c r="E478" s="18">
        <v>43773</v>
      </c>
      <c r="F478" s="3">
        <f t="shared" si="24"/>
        <v>45382</v>
      </c>
      <c r="G478" s="4">
        <v>16614</v>
      </c>
      <c r="H478" s="1">
        <f t="shared" si="22"/>
        <v>180</v>
      </c>
      <c r="I478" s="4">
        <v>3511.2067592143158</v>
      </c>
      <c r="L478" s="8"/>
      <c r="M478" s="9"/>
      <c r="N478" s="9"/>
      <c r="O478" s="9"/>
      <c r="P478" s="9"/>
      <c r="Q478" s="10"/>
    </row>
    <row r="479" spans="1:17" x14ac:dyDescent="0.3">
      <c r="A479" s="1">
        <f t="shared" si="23"/>
        <v>478</v>
      </c>
      <c r="B479" s="19" t="s">
        <v>516</v>
      </c>
      <c r="C479" s="1" t="s">
        <v>448</v>
      </c>
      <c r="D479" s="2" t="s">
        <v>504</v>
      </c>
      <c r="E479" s="18">
        <v>43785</v>
      </c>
      <c r="F479" s="3">
        <f t="shared" si="24"/>
        <v>45382</v>
      </c>
      <c r="G479" s="4">
        <v>935</v>
      </c>
      <c r="H479" s="1">
        <f t="shared" si="22"/>
        <v>180</v>
      </c>
      <c r="I479" s="4">
        <v>197.6031250671353</v>
      </c>
      <c r="L479" s="8"/>
      <c r="M479" s="9"/>
      <c r="N479" s="9"/>
      <c r="O479" s="9"/>
      <c r="P479" s="9"/>
      <c r="Q479" s="10"/>
    </row>
    <row r="480" spans="1:17" x14ac:dyDescent="0.3">
      <c r="A480" s="1">
        <f t="shared" si="23"/>
        <v>479</v>
      </c>
      <c r="B480" s="19" t="s">
        <v>517</v>
      </c>
      <c r="C480" s="1" t="s">
        <v>448</v>
      </c>
      <c r="D480" s="2" t="s">
        <v>504</v>
      </c>
      <c r="E480" s="18">
        <v>43824</v>
      </c>
      <c r="F480" s="3">
        <f t="shared" si="24"/>
        <v>45382</v>
      </c>
      <c r="G480" s="4">
        <v>2280</v>
      </c>
      <c r="H480" s="1">
        <f t="shared" si="22"/>
        <v>180</v>
      </c>
      <c r="I480" s="4">
        <v>469.6039564859949</v>
      </c>
      <c r="L480" s="8"/>
      <c r="M480" s="9"/>
      <c r="N480" s="9"/>
      <c r="O480" s="9"/>
      <c r="P480" s="9"/>
      <c r="Q480" s="10"/>
    </row>
    <row r="481" spans="1:17" x14ac:dyDescent="0.3">
      <c r="A481" s="1">
        <f t="shared" si="23"/>
        <v>480</v>
      </c>
      <c r="B481" s="19" t="s">
        <v>518</v>
      </c>
      <c r="C481" s="1" t="s">
        <v>448</v>
      </c>
      <c r="D481" s="2" t="s">
        <v>504</v>
      </c>
      <c r="E481" s="18">
        <v>43855</v>
      </c>
      <c r="F481" s="3">
        <f t="shared" si="24"/>
        <v>45382</v>
      </c>
      <c r="G481" s="4">
        <v>920</v>
      </c>
      <c r="H481" s="1">
        <f t="shared" si="22"/>
        <v>180</v>
      </c>
      <c r="I481" s="4">
        <v>184.54578912074635</v>
      </c>
      <c r="L481" s="8"/>
      <c r="M481" s="9"/>
      <c r="N481" s="9"/>
      <c r="O481" s="9"/>
      <c r="P481" s="9"/>
      <c r="Q481" s="10"/>
    </row>
    <row r="482" spans="1:17" x14ac:dyDescent="0.3">
      <c r="A482" s="1">
        <f t="shared" si="23"/>
        <v>481</v>
      </c>
      <c r="B482" s="19" t="s">
        <v>519</v>
      </c>
      <c r="C482" s="1" t="s">
        <v>448</v>
      </c>
      <c r="D482" s="2" t="s">
        <v>504</v>
      </c>
      <c r="E482" s="18">
        <v>43890</v>
      </c>
      <c r="F482" s="3">
        <f t="shared" si="24"/>
        <v>45382</v>
      </c>
      <c r="G482" s="4">
        <v>3540</v>
      </c>
      <c r="H482" s="1">
        <f t="shared" si="22"/>
        <v>180</v>
      </c>
      <c r="I482" s="4">
        <v>692.30609794380484</v>
      </c>
      <c r="L482" s="8"/>
      <c r="M482" s="9"/>
      <c r="N482" s="9"/>
      <c r="O482" s="9"/>
      <c r="P482" s="9"/>
      <c r="Q482" s="10"/>
    </row>
    <row r="483" spans="1:17" x14ac:dyDescent="0.3">
      <c r="A483" s="1">
        <f t="shared" si="23"/>
        <v>482</v>
      </c>
      <c r="B483" s="19" t="s">
        <v>520</v>
      </c>
      <c r="C483" s="1" t="s">
        <v>448</v>
      </c>
      <c r="D483" s="2" t="s">
        <v>504</v>
      </c>
      <c r="E483" s="18">
        <v>43906</v>
      </c>
      <c r="F483" s="3">
        <f t="shared" si="24"/>
        <v>45382</v>
      </c>
      <c r="G483" s="4">
        <v>22001</v>
      </c>
      <c r="H483" s="1">
        <f t="shared" si="22"/>
        <v>180</v>
      </c>
      <c r="I483" s="4">
        <v>4184.4507622587644</v>
      </c>
      <c r="L483" s="8"/>
      <c r="M483" s="9"/>
      <c r="N483" s="9"/>
      <c r="O483" s="9"/>
      <c r="P483" s="9"/>
      <c r="Q483" s="10"/>
    </row>
    <row r="484" spans="1:17" x14ac:dyDescent="0.3">
      <c r="A484" s="1">
        <f t="shared" si="23"/>
        <v>483</v>
      </c>
      <c r="B484" s="19" t="s">
        <v>521</v>
      </c>
      <c r="C484" s="1" t="s">
        <v>522</v>
      </c>
      <c r="D484" s="2" t="s">
        <v>504</v>
      </c>
      <c r="E484" s="18">
        <v>44018</v>
      </c>
      <c r="F484" s="3">
        <f t="shared" si="24"/>
        <v>45382</v>
      </c>
      <c r="G484" s="4">
        <v>27404</v>
      </c>
      <c r="H484" s="1">
        <f t="shared" si="22"/>
        <v>180</v>
      </c>
      <c r="I484" s="4">
        <v>5138.1188011947006</v>
      </c>
      <c r="L484" s="8"/>
      <c r="M484" s="9"/>
      <c r="N484" s="9"/>
      <c r="O484" s="9"/>
      <c r="P484" s="9"/>
      <c r="Q484" s="10"/>
    </row>
    <row r="485" spans="1:17" s="24" customFormat="1" x14ac:dyDescent="0.25">
      <c r="A485" s="1">
        <f t="shared" si="23"/>
        <v>484</v>
      </c>
      <c r="B485" s="20" t="s">
        <v>523</v>
      </c>
      <c r="C485" s="2" t="s">
        <v>522</v>
      </c>
      <c r="D485" s="2" t="s">
        <v>524</v>
      </c>
      <c r="E485" s="22">
        <v>43922</v>
      </c>
      <c r="F485" s="3">
        <f t="shared" si="24"/>
        <v>45382</v>
      </c>
      <c r="G485" s="15">
        <v>95200</v>
      </c>
      <c r="H485" s="1">
        <f t="shared" si="22"/>
        <v>180</v>
      </c>
      <c r="I485" s="4">
        <v>17675.710480693459</v>
      </c>
      <c r="J485" s="3"/>
      <c r="K485" s="15"/>
      <c r="L485" s="8"/>
      <c r="M485" s="9"/>
      <c r="N485" s="9"/>
      <c r="O485" s="9"/>
      <c r="P485" s="9"/>
      <c r="Q485" s="23"/>
    </row>
    <row r="486" spans="1:17" s="24" customFormat="1" x14ac:dyDescent="0.25">
      <c r="A486" s="1">
        <f t="shared" si="23"/>
        <v>485</v>
      </c>
      <c r="B486" s="20" t="s">
        <v>525</v>
      </c>
      <c r="C486" s="2" t="s">
        <v>522</v>
      </c>
      <c r="D486" s="2" t="s">
        <v>524</v>
      </c>
      <c r="E486" s="22">
        <v>43999</v>
      </c>
      <c r="F486" s="3">
        <f t="shared" si="24"/>
        <v>45382</v>
      </c>
      <c r="G486" s="15">
        <v>116861</v>
      </c>
      <c r="H486" s="1">
        <f t="shared" si="22"/>
        <v>180</v>
      </c>
      <c r="I486" s="4">
        <v>20443.29908517118</v>
      </c>
      <c r="J486" s="3"/>
      <c r="K486" s="15"/>
      <c r="L486" s="8"/>
      <c r="M486" s="9"/>
      <c r="N486" s="9"/>
      <c r="O486" s="9"/>
      <c r="P486" s="9"/>
      <c r="Q486" s="23"/>
    </row>
    <row r="487" spans="1:17" s="24" customFormat="1" x14ac:dyDescent="0.25">
      <c r="A487" s="1">
        <f t="shared" si="23"/>
        <v>486</v>
      </c>
      <c r="B487" s="20" t="s">
        <v>526</v>
      </c>
      <c r="C487" s="2" t="s">
        <v>522</v>
      </c>
      <c r="D487" s="2" t="s">
        <v>524</v>
      </c>
      <c r="E487" s="22">
        <v>44020</v>
      </c>
      <c r="F487" s="3">
        <f t="shared" si="24"/>
        <v>45382</v>
      </c>
      <c r="G487" s="15">
        <v>325000</v>
      </c>
      <c r="H487" s="1">
        <f t="shared" si="22"/>
        <v>180</v>
      </c>
      <c r="I487" s="4">
        <v>55081.893433500285</v>
      </c>
      <c r="J487" s="3"/>
      <c r="K487" s="15"/>
      <c r="L487" s="8"/>
      <c r="M487" s="9"/>
      <c r="N487" s="9"/>
      <c r="O487" s="9"/>
      <c r="P487" s="9"/>
      <c r="Q487" s="23"/>
    </row>
    <row r="488" spans="1:17" s="24" customFormat="1" x14ac:dyDescent="0.25">
      <c r="A488" s="1">
        <f t="shared" si="23"/>
        <v>487</v>
      </c>
      <c r="B488" s="20" t="s">
        <v>527</v>
      </c>
      <c r="C488" s="2" t="s">
        <v>522</v>
      </c>
      <c r="D488" s="2" t="s">
        <v>524</v>
      </c>
      <c r="E488" s="22">
        <v>44107</v>
      </c>
      <c r="F488" s="3">
        <f t="shared" si="24"/>
        <v>45382</v>
      </c>
      <c r="G488" s="15">
        <v>336000</v>
      </c>
      <c r="H488" s="1">
        <f t="shared" si="22"/>
        <v>180</v>
      </c>
      <c r="I488" s="4">
        <v>51507.563199563199</v>
      </c>
      <c r="J488" s="3"/>
      <c r="K488" s="15"/>
      <c r="L488" s="8"/>
      <c r="M488" s="9"/>
      <c r="N488" s="9"/>
      <c r="O488" s="9"/>
      <c r="P488" s="9"/>
      <c r="Q488" s="23"/>
    </row>
    <row r="489" spans="1:17" s="24" customFormat="1" x14ac:dyDescent="0.25">
      <c r="A489" s="1">
        <f t="shared" si="23"/>
        <v>488</v>
      </c>
      <c r="B489" s="20" t="s">
        <v>528</v>
      </c>
      <c r="C489" s="2" t="s">
        <v>522</v>
      </c>
      <c r="D489" s="2" t="s">
        <v>524</v>
      </c>
      <c r="E489" s="22">
        <v>44168</v>
      </c>
      <c r="F489" s="3">
        <f t="shared" si="24"/>
        <v>45382</v>
      </c>
      <c r="G489" s="15">
        <v>361760</v>
      </c>
      <c r="H489" s="1">
        <f t="shared" si="22"/>
        <v>180</v>
      </c>
      <c r="I489" s="4">
        <v>51573.966295921811</v>
      </c>
      <c r="J489" s="3"/>
      <c r="K489" s="15"/>
      <c r="L489" s="8"/>
      <c r="M489" s="9"/>
      <c r="N489" s="9"/>
      <c r="O489" s="9"/>
      <c r="P489" s="9"/>
      <c r="Q489" s="23"/>
    </row>
    <row r="490" spans="1:17" s="24" customFormat="1" x14ac:dyDescent="0.25">
      <c r="A490" s="1">
        <f t="shared" si="23"/>
        <v>489</v>
      </c>
      <c r="B490" s="20" t="s">
        <v>529</v>
      </c>
      <c r="C490" s="2" t="s">
        <v>522</v>
      </c>
      <c r="D490" s="2" t="s">
        <v>524</v>
      </c>
      <c r="E490" s="22">
        <v>44175</v>
      </c>
      <c r="F490" s="3">
        <f t="shared" si="24"/>
        <v>45382</v>
      </c>
      <c r="G490" s="15">
        <v>18984</v>
      </c>
      <c r="H490" s="1">
        <f t="shared" si="22"/>
        <v>180</v>
      </c>
      <c r="I490" s="4">
        <v>2706.4356926188066</v>
      </c>
      <c r="J490" s="3"/>
      <c r="K490" s="15"/>
      <c r="L490" s="8"/>
      <c r="M490" s="9"/>
      <c r="N490" s="9"/>
      <c r="O490" s="9"/>
      <c r="P490" s="9"/>
      <c r="Q490" s="23"/>
    </row>
    <row r="491" spans="1:17" s="24" customFormat="1" x14ac:dyDescent="0.25">
      <c r="A491" s="1">
        <f t="shared" si="23"/>
        <v>490</v>
      </c>
      <c r="B491" s="20" t="s">
        <v>530</v>
      </c>
      <c r="C491" s="2" t="s">
        <v>522</v>
      </c>
      <c r="D491" s="2" t="s">
        <v>524</v>
      </c>
      <c r="E491" s="22">
        <v>44190</v>
      </c>
      <c r="F491" s="3">
        <f t="shared" si="24"/>
        <v>45382</v>
      </c>
      <c r="G491" s="15">
        <v>15624</v>
      </c>
      <c r="H491" s="1">
        <f t="shared" si="22"/>
        <v>180</v>
      </c>
      <c r="I491" s="4">
        <v>2227.4205257836197</v>
      </c>
      <c r="J491" s="3"/>
      <c r="K491" s="15"/>
      <c r="L491" s="8"/>
      <c r="M491" s="9"/>
      <c r="N491" s="9"/>
      <c r="O491" s="9"/>
      <c r="P491" s="9"/>
      <c r="Q491" s="23"/>
    </row>
    <row r="492" spans="1:17" s="24" customFormat="1" x14ac:dyDescent="0.25">
      <c r="A492" s="1">
        <f t="shared" si="23"/>
        <v>491</v>
      </c>
      <c r="B492" s="20" t="s">
        <v>531</v>
      </c>
      <c r="C492" s="2" t="s">
        <v>522</v>
      </c>
      <c r="D492" s="2" t="s">
        <v>524</v>
      </c>
      <c r="E492" s="22">
        <v>44272</v>
      </c>
      <c r="F492" s="3">
        <f t="shared" si="24"/>
        <v>45382</v>
      </c>
      <c r="G492" s="15">
        <v>1036000</v>
      </c>
      <c r="H492" s="1">
        <f t="shared" si="22"/>
        <v>180</v>
      </c>
      <c r="I492" s="4">
        <v>131291.82389937105</v>
      </c>
      <c r="J492" s="3"/>
      <c r="K492" s="15"/>
      <c r="L492" s="8"/>
      <c r="M492" s="9"/>
      <c r="N492" s="9"/>
      <c r="O492" s="9"/>
      <c r="P492" s="9"/>
      <c r="Q492" s="23"/>
    </row>
    <row r="493" spans="1:17" s="24" customFormat="1" x14ac:dyDescent="0.25">
      <c r="A493" s="1">
        <f t="shared" si="23"/>
        <v>492</v>
      </c>
      <c r="B493" s="20" t="s">
        <v>532</v>
      </c>
      <c r="C493" s="2" t="s">
        <v>522</v>
      </c>
      <c r="D493" s="2" t="s">
        <v>524</v>
      </c>
      <c r="E493" s="18">
        <v>44275</v>
      </c>
      <c r="F493" s="3">
        <f t="shared" si="24"/>
        <v>45382</v>
      </c>
      <c r="G493" s="15">
        <v>77840</v>
      </c>
      <c r="H493" s="1">
        <f t="shared" si="22"/>
        <v>180</v>
      </c>
      <c r="I493" s="4">
        <v>9864.6289308176092</v>
      </c>
      <c r="J493" s="3"/>
      <c r="K493" s="15"/>
      <c r="L493" s="8"/>
      <c r="M493" s="9"/>
      <c r="N493" s="9"/>
      <c r="O493" s="9"/>
      <c r="P493" s="9"/>
      <c r="Q493" s="23"/>
    </row>
    <row r="494" spans="1:17" s="24" customFormat="1" x14ac:dyDescent="0.25">
      <c r="A494" s="1">
        <f t="shared" si="23"/>
        <v>493</v>
      </c>
      <c r="B494" s="20" t="s">
        <v>533</v>
      </c>
      <c r="C494" s="2" t="s">
        <v>522</v>
      </c>
      <c r="D494" s="2" t="s">
        <v>524</v>
      </c>
      <c r="E494" s="18">
        <v>44159</v>
      </c>
      <c r="F494" s="3">
        <f t="shared" si="24"/>
        <v>45382</v>
      </c>
      <c r="G494" s="15">
        <v>172150</v>
      </c>
      <c r="H494" s="1">
        <f t="shared" si="22"/>
        <v>180</v>
      </c>
      <c r="I494" s="4">
        <v>25481.323736602899</v>
      </c>
      <c r="J494" s="3"/>
      <c r="K494" s="15"/>
      <c r="L494" s="8"/>
      <c r="M494" s="9"/>
      <c r="N494" s="9"/>
      <c r="O494" s="9"/>
      <c r="P494" s="9"/>
      <c r="Q494" s="23"/>
    </row>
    <row r="495" spans="1:17" s="31" customFormat="1" x14ac:dyDescent="0.25">
      <c r="A495" s="1">
        <f t="shared" si="23"/>
        <v>494</v>
      </c>
      <c r="B495" s="25" t="s">
        <v>534</v>
      </c>
      <c r="C495" s="26" t="s">
        <v>535</v>
      </c>
      <c r="D495" s="26" t="s">
        <v>449</v>
      </c>
      <c r="E495" s="27">
        <v>44366</v>
      </c>
      <c r="F495" s="3">
        <f t="shared" si="24"/>
        <v>45382</v>
      </c>
      <c r="G495" s="29">
        <v>59000</v>
      </c>
      <c r="H495" s="1">
        <f t="shared" ref="H495:H559" si="25">15*12</f>
        <v>180</v>
      </c>
      <c r="I495" s="4">
        <v>6580.6851851851843</v>
      </c>
      <c r="J495" s="3"/>
      <c r="K495" s="29"/>
      <c r="L495" s="8"/>
      <c r="M495" s="9"/>
      <c r="N495" s="9"/>
      <c r="O495" s="9"/>
      <c r="P495" s="9"/>
      <c r="Q495" s="30"/>
    </row>
    <row r="496" spans="1:17" s="31" customFormat="1" x14ac:dyDescent="0.25">
      <c r="A496" s="1">
        <f t="shared" si="23"/>
        <v>495</v>
      </c>
      <c r="B496" s="25" t="s">
        <v>536</v>
      </c>
      <c r="C496" s="26" t="s">
        <v>535</v>
      </c>
      <c r="D496" s="26" t="s">
        <v>449</v>
      </c>
      <c r="E496" s="27">
        <v>44449</v>
      </c>
      <c r="F496" s="3">
        <f t="shared" si="24"/>
        <v>45382</v>
      </c>
      <c r="G496" s="29">
        <v>61600</v>
      </c>
      <c r="H496" s="1">
        <f t="shared" si="25"/>
        <v>180</v>
      </c>
      <c r="I496" s="4">
        <v>5873.6740740740734</v>
      </c>
      <c r="J496" s="3"/>
      <c r="K496" s="29"/>
      <c r="L496" s="8"/>
      <c r="M496" s="9"/>
      <c r="N496" s="9"/>
      <c r="O496" s="9"/>
      <c r="P496" s="9"/>
      <c r="Q496" s="30"/>
    </row>
    <row r="497" spans="1:17" s="31" customFormat="1" x14ac:dyDescent="0.25">
      <c r="A497" s="1">
        <f t="shared" si="23"/>
        <v>496</v>
      </c>
      <c r="B497" s="25" t="s">
        <v>537</v>
      </c>
      <c r="C497" s="26" t="s">
        <v>535</v>
      </c>
      <c r="D497" s="26" t="s">
        <v>449</v>
      </c>
      <c r="E497" s="27">
        <v>44492</v>
      </c>
      <c r="F497" s="3">
        <f t="shared" si="24"/>
        <v>45382</v>
      </c>
      <c r="G497" s="29">
        <v>161070</v>
      </c>
      <c r="H497" s="1">
        <f t="shared" si="25"/>
        <v>180</v>
      </c>
      <c r="I497" s="4">
        <v>14479.89472222222</v>
      </c>
      <c r="J497" s="3"/>
      <c r="K497" s="29"/>
      <c r="L497" s="8"/>
      <c r="M497" s="9"/>
      <c r="N497" s="9"/>
      <c r="O497" s="9"/>
      <c r="P497" s="9"/>
      <c r="Q497" s="30"/>
    </row>
    <row r="498" spans="1:17" s="31" customFormat="1" x14ac:dyDescent="0.25">
      <c r="A498" s="1">
        <f t="shared" si="23"/>
        <v>497</v>
      </c>
      <c r="B498" s="25" t="s">
        <v>538</v>
      </c>
      <c r="C498" s="26" t="s">
        <v>535</v>
      </c>
      <c r="D498" s="26" t="s">
        <v>449</v>
      </c>
      <c r="E498" s="27">
        <v>44508</v>
      </c>
      <c r="F498" s="3">
        <f t="shared" si="24"/>
        <v>45382</v>
      </c>
      <c r="G498" s="29">
        <v>229892</v>
      </c>
      <c r="H498" s="1">
        <f t="shared" si="25"/>
        <v>180</v>
      </c>
      <c r="I498" s="4">
        <v>19453.546185185187</v>
      </c>
      <c r="J498" s="3"/>
      <c r="K498" s="29"/>
      <c r="L498" s="8"/>
      <c r="M498" s="9"/>
      <c r="N498" s="9"/>
      <c r="O498" s="9"/>
      <c r="P498" s="9"/>
      <c r="Q498" s="30"/>
    </row>
    <row r="499" spans="1:17" s="31" customFormat="1" x14ac:dyDescent="0.25">
      <c r="A499" s="1">
        <f t="shared" si="23"/>
        <v>498</v>
      </c>
      <c r="B499" s="25" t="s">
        <v>539</v>
      </c>
      <c r="C499" s="26" t="s">
        <v>535</v>
      </c>
      <c r="D499" s="26" t="s">
        <v>449</v>
      </c>
      <c r="E499" s="27">
        <v>44632</v>
      </c>
      <c r="F499" s="3">
        <f t="shared" si="24"/>
        <v>45382</v>
      </c>
      <c r="G499" s="29">
        <v>89600</v>
      </c>
      <c r="H499" s="1">
        <f t="shared" si="25"/>
        <v>180</v>
      </c>
      <c r="I499" s="4">
        <v>5674.666666666667</v>
      </c>
      <c r="J499" s="3"/>
      <c r="K499" s="29"/>
      <c r="L499" s="8"/>
      <c r="M499" s="9"/>
      <c r="N499" s="9"/>
      <c r="O499" s="9"/>
      <c r="P499" s="9"/>
      <c r="Q499" s="30"/>
    </row>
    <row r="500" spans="1:17" s="31" customFormat="1" x14ac:dyDescent="0.25">
      <c r="A500" s="32">
        <f t="shared" si="23"/>
        <v>499</v>
      </c>
      <c r="B500" s="25" t="s">
        <v>540</v>
      </c>
      <c r="C500" s="26" t="s">
        <v>535</v>
      </c>
      <c r="D500" s="26" t="s">
        <v>281</v>
      </c>
      <c r="E500" s="27">
        <v>44414</v>
      </c>
      <c r="F500" s="3">
        <f t="shared" si="24"/>
        <v>45382</v>
      </c>
      <c r="G500" s="29">
        <v>334170</v>
      </c>
      <c r="H500" s="32">
        <f t="shared" si="25"/>
        <v>180</v>
      </c>
      <c r="I500" s="4">
        <v>33627.403333333335</v>
      </c>
      <c r="J500" s="3"/>
      <c r="K500" s="29"/>
      <c r="L500" s="8"/>
      <c r="M500" s="9"/>
      <c r="N500" s="9"/>
      <c r="O500" s="9"/>
      <c r="P500" s="9"/>
      <c r="Q500" s="30"/>
    </row>
    <row r="501" spans="1:17" s="31" customFormat="1" x14ac:dyDescent="0.25">
      <c r="A501" s="32">
        <f t="shared" si="23"/>
        <v>500</v>
      </c>
      <c r="B501" s="25" t="s">
        <v>541</v>
      </c>
      <c r="C501" s="26" t="s">
        <v>535</v>
      </c>
      <c r="D501" s="26" t="s">
        <v>281</v>
      </c>
      <c r="E501" s="27">
        <v>44646</v>
      </c>
      <c r="F501" s="3">
        <f t="shared" si="24"/>
        <v>45382</v>
      </c>
      <c r="G501" s="29">
        <v>44381</v>
      </c>
      <c r="H501" s="32">
        <f t="shared" si="25"/>
        <v>180</v>
      </c>
      <c r="I501" s="4">
        <v>2810.7966666666666</v>
      </c>
      <c r="J501" s="3"/>
      <c r="K501" s="29"/>
      <c r="L501" s="8"/>
      <c r="M501" s="9"/>
      <c r="N501" s="9"/>
      <c r="O501" s="9"/>
      <c r="P501" s="9"/>
      <c r="Q501" s="30"/>
    </row>
    <row r="502" spans="1:17" s="31" customFormat="1" x14ac:dyDescent="0.25">
      <c r="A502" s="32">
        <f t="shared" si="23"/>
        <v>501</v>
      </c>
      <c r="B502" s="25" t="s">
        <v>542</v>
      </c>
      <c r="C502" s="26" t="s">
        <v>535</v>
      </c>
      <c r="D502" s="26" t="s">
        <v>499</v>
      </c>
      <c r="E502" s="27">
        <v>44295</v>
      </c>
      <c r="F502" s="3">
        <f t="shared" si="24"/>
        <v>45382</v>
      </c>
      <c r="G502" s="29">
        <v>1200</v>
      </c>
      <c r="H502" s="32">
        <f t="shared" si="25"/>
        <v>180</v>
      </c>
      <c r="I502" s="4">
        <v>146.72222222222223</v>
      </c>
      <c r="J502" s="3"/>
      <c r="K502" s="29"/>
      <c r="L502" s="8"/>
      <c r="M502" s="9"/>
      <c r="N502" s="9"/>
      <c r="O502" s="9"/>
      <c r="P502" s="9"/>
      <c r="Q502" s="30"/>
    </row>
    <row r="503" spans="1:17" s="31" customFormat="1" x14ac:dyDescent="0.25">
      <c r="A503" s="32">
        <f t="shared" si="23"/>
        <v>502</v>
      </c>
      <c r="B503" s="25" t="s">
        <v>543</v>
      </c>
      <c r="C503" s="26" t="s">
        <v>535</v>
      </c>
      <c r="D503" s="26" t="s">
        <v>499</v>
      </c>
      <c r="E503" s="27">
        <v>44316</v>
      </c>
      <c r="F503" s="3">
        <f t="shared" si="24"/>
        <v>45382</v>
      </c>
      <c r="G503" s="29">
        <v>3504</v>
      </c>
      <c r="H503" s="32">
        <f t="shared" si="25"/>
        <v>180</v>
      </c>
      <c r="I503" s="4">
        <v>428.42888888888882</v>
      </c>
      <c r="J503" s="3"/>
      <c r="K503" s="29"/>
      <c r="L503" s="8"/>
      <c r="M503" s="9"/>
      <c r="N503" s="9"/>
      <c r="O503" s="9"/>
      <c r="P503" s="9"/>
      <c r="Q503" s="30"/>
    </row>
    <row r="504" spans="1:17" s="31" customFormat="1" x14ac:dyDescent="0.25">
      <c r="A504" s="32">
        <f t="shared" si="23"/>
        <v>503</v>
      </c>
      <c r="B504" s="25" t="s">
        <v>544</v>
      </c>
      <c r="C504" s="26" t="s">
        <v>535</v>
      </c>
      <c r="D504" s="26" t="s">
        <v>499</v>
      </c>
      <c r="E504" s="27">
        <v>44354</v>
      </c>
      <c r="F504" s="3">
        <f t="shared" si="24"/>
        <v>45382</v>
      </c>
      <c r="G504" s="29">
        <v>1195</v>
      </c>
      <c r="H504" s="32">
        <f t="shared" si="25"/>
        <v>180</v>
      </c>
      <c r="I504" s="4">
        <v>133.28675925925927</v>
      </c>
      <c r="J504" s="3"/>
      <c r="K504" s="29"/>
      <c r="L504" s="8"/>
      <c r="M504" s="9"/>
      <c r="N504" s="9"/>
      <c r="O504" s="9"/>
      <c r="P504" s="9"/>
      <c r="Q504" s="30"/>
    </row>
    <row r="505" spans="1:17" s="31" customFormat="1" x14ac:dyDescent="0.25">
      <c r="A505" s="32">
        <f t="shared" si="23"/>
        <v>504</v>
      </c>
      <c r="B505" s="25" t="s">
        <v>545</v>
      </c>
      <c r="C505" s="26" t="s">
        <v>535</v>
      </c>
      <c r="D505" s="26" t="s">
        <v>499</v>
      </c>
      <c r="E505" s="27">
        <v>44530</v>
      </c>
      <c r="F505" s="3">
        <f t="shared" si="24"/>
        <v>45382</v>
      </c>
      <c r="G505" s="29">
        <v>6000</v>
      </c>
      <c r="H505" s="32">
        <f t="shared" si="25"/>
        <v>180</v>
      </c>
      <c r="I505" s="4">
        <v>507.72222222222223</v>
      </c>
      <c r="J505" s="3"/>
      <c r="K505" s="29"/>
      <c r="L505" s="8"/>
      <c r="M505" s="9"/>
      <c r="N505" s="9"/>
      <c r="O505" s="9"/>
      <c r="P505" s="9"/>
      <c r="Q505" s="30"/>
    </row>
    <row r="506" spans="1:17" s="26" customFormat="1" x14ac:dyDescent="0.3">
      <c r="A506" s="32">
        <f t="shared" si="23"/>
        <v>505</v>
      </c>
      <c r="B506" s="33" t="s">
        <v>546</v>
      </c>
      <c r="C506" s="26" t="s">
        <v>535</v>
      </c>
      <c r="D506" s="26" t="s">
        <v>19</v>
      </c>
      <c r="E506" s="27">
        <v>44309</v>
      </c>
      <c r="F506" s="3">
        <f t="shared" si="24"/>
        <v>45382</v>
      </c>
      <c r="G506" s="28">
        <v>8900</v>
      </c>
      <c r="H506" s="32">
        <f t="shared" si="25"/>
        <v>180</v>
      </c>
      <c r="I506" s="4">
        <v>1088.1898148148148</v>
      </c>
      <c r="J506" s="3"/>
      <c r="K506" s="28"/>
      <c r="L506" s="8"/>
      <c r="M506" s="9"/>
      <c r="N506" s="9"/>
      <c r="O506" s="9"/>
      <c r="P506" s="9"/>
      <c r="Q506" s="34"/>
    </row>
    <row r="507" spans="1:17" s="26" customFormat="1" x14ac:dyDescent="0.3">
      <c r="A507" s="32">
        <f t="shared" si="23"/>
        <v>506</v>
      </c>
      <c r="B507" s="33" t="s">
        <v>547</v>
      </c>
      <c r="C507" s="26" t="s">
        <v>535</v>
      </c>
      <c r="D507" s="26" t="s">
        <v>61</v>
      </c>
      <c r="E507" s="27">
        <v>44448</v>
      </c>
      <c r="F507" s="3">
        <f t="shared" si="24"/>
        <v>45382</v>
      </c>
      <c r="G507" s="28">
        <v>20350</v>
      </c>
      <c r="H507" s="32">
        <f t="shared" si="25"/>
        <v>180</v>
      </c>
      <c r="I507" s="4">
        <v>1940.4101851851851</v>
      </c>
      <c r="J507" s="3"/>
      <c r="K507" s="28"/>
      <c r="L507" s="8"/>
      <c r="M507" s="9"/>
      <c r="N507" s="9"/>
      <c r="O507" s="9"/>
      <c r="P507" s="9"/>
      <c r="Q507" s="34"/>
    </row>
    <row r="508" spans="1:17" s="26" customFormat="1" x14ac:dyDescent="0.3">
      <c r="A508" s="32">
        <f t="shared" si="23"/>
        <v>507</v>
      </c>
      <c r="B508" s="33" t="s">
        <v>548</v>
      </c>
      <c r="C508" s="26" t="s">
        <v>535</v>
      </c>
      <c r="D508" s="26" t="s">
        <v>61</v>
      </c>
      <c r="E508" s="27">
        <v>44651</v>
      </c>
      <c r="F508" s="3">
        <f t="shared" si="24"/>
        <v>45382</v>
      </c>
      <c r="G508" s="28">
        <v>71000</v>
      </c>
      <c r="H508" s="32">
        <f t="shared" si="25"/>
        <v>180</v>
      </c>
      <c r="I508" s="4">
        <v>4496.666666666667</v>
      </c>
      <c r="J508" s="3"/>
      <c r="K508" s="28"/>
      <c r="L508" s="8"/>
      <c r="M508" s="9"/>
      <c r="N508" s="9"/>
      <c r="O508" s="9"/>
      <c r="P508" s="9"/>
      <c r="Q508" s="34"/>
    </row>
    <row r="509" spans="1:17" s="26" customFormat="1" x14ac:dyDescent="0.3">
      <c r="A509" s="32">
        <f t="shared" si="23"/>
        <v>508</v>
      </c>
      <c r="B509" s="33" t="s">
        <v>549</v>
      </c>
      <c r="C509" s="26" t="s">
        <v>535</v>
      </c>
      <c r="D509" s="26" t="s">
        <v>99</v>
      </c>
      <c r="E509" s="27">
        <v>44637</v>
      </c>
      <c r="F509" s="3">
        <f t="shared" si="24"/>
        <v>45382</v>
      </c>
      <c r="G509" s="28">
        <v>27000</v>
      </c>
      <c r="H509" s="32">
        <f t="shared" si="25"/>
        <v>180</v>
      </c>
      <c r="I509" s="4">
        <v>1710</v>
      </c>
      <c r="J509" s="3"/>
      <c r="K509" s="28"/>
      <c r="L509" s="8"/>
      <c r="M509" s="9"/>
      <c r="N509" s="9"/>
      <c r="O509" s="9"/>
      <c r="P509" s="9"/>
      <c r="Q509" s="34"/>
    </row>
    <row r="510" spans="1:17" s="26" customFormat="1" x14ac:dyDescent="0.3">
      <c r="A510" s="32">
        <f t="shared" si="23"/>
        <v>509</v>
      </c>
      <c r="B510" s="33" t="s">
        <v>550</v>
      </c>
      <c r="C510" s="26" t="s">
        <v>535</v>
      </c>
      <c r="D510" s="26" t="s">
        <v>551</v>
      </c>
      <c r="E510" s="27">
        <v>44408</v>
      </c>
      <c r="F510" s="3">
        <f t="shared" si="24"/>
        <v>45382</v>
      </c>
      <c r="G510" s="28">
        <v>17900</v>
      </c>
      <c r="H510" s="32">
        <f t="shared" si="25"/>
        <v>180</v>
      </c>
      <c r="I510" s="4">
        <v>1898.8916666666664</v>
      </c>
      <c r="J510" s="3"/>
      <c r="K510" s="28"/>
      <c r="L510" s="8"/>
      <c r="M510" s="9"/>
      <c r="N510" s="9"/>
      <c r="O510" s="9"/>
      <c r="P510" s="9"/>
      <c r="Q510" s="34"/>
    </row>
    <row r="511" spans="1:17" s="26" customFormat="1" x14ac:dyDescent="0.3">
      <c r="A511" s="32">
        <f t="shared" si="23"/>
        <v>510</v>
      </c>
      <c r="B511" s="33" t="s">
        <v>552</v>
      </c>
      <c r="C511" s="26" t="s">
        <v>535</v>
      </c>
      <c r="D511" s="26" t="s">
        <v>504</v>
      </c>
      <c r="E511" s="27">
        <v>44348</v>
      </c>
      <c r="F511" s="3">
        <f t="shared" si="24"/>
        <v>45382</v>
      </c>
      <c r="G511" s="28">
        <v>80004</v>
      </c>
      <c r="H511" s="32">
        <f t="shared" si="25"/>
        <v>180</v>
      </c>
      <c r="I511" s="4">
        <v>8923.409111111112</v>
      </c>
      <c r="J511" s="3"/>
      <c r="K511" s="28"/>
      <c r="L511" s="8"/>
      <c r="M511" s="9"/>
      <c r="N511" s="9"/>
      <c r="O511" s="9"/>
      <c r="P511" s="9"/>
      <c r="Q511" s="34"/>
    </row>
    <row r="512" spans="1:17" s="26" customFormat="1" x14ac:dyDescent="0.3">
      <c r="A512" s="32">
        <f t="shared" si="23"/>
        <v>511</v>
      </c>
      <c r="B512" s="33" t="s">
        <v>553</v>
      </c>
      <c r="C512" s="26" t="s">
        <v>535</v>
      </c>
      <c r="D512" s="26" t="s">
        <v>504</v>
      </c>
      <c r="E512" s="27">
        <v>44387</v>
      </c>
      <c r="F512" s="3">
        <f t="shared" si="24"/>
        <v>45382</v>
      </c>
      <c r="G512" s="28">
        <v>25960</v>
      </c>
      <c r="H512" s="32">
        <f t="shared" si="25"/>
        <v>180</v>
      </c>
      <c r="I512" s="4">
        <v>2753.9233333333332</v>
      </c>
      <c r="J512" s="3"/>
      <c r="K512" s="28"/>
      <c r="L512" s="8"/>
      <c r="M512" s="9"/>
      <c r="N512" s="9"/>
      <c r="O512" s="9"/>
      <c r="P512" s="9"/>
      <c r="Q512" s="34"/>
    </row>
    <row r="513" spans="1:17" s="26" customFormat="1" x14ac:dyDescent="0.3">
      <c r="A513" s="32">
        <f t="shared" si="23"/>
        <v>512</v>
      </c>
      <c r="B513" s="33" t="s">
        <v>554</v>
      </c>
      <c r="C513" s="26" t="s">
        <v>535</v>
      </c>
      <c r="D513" s="26" t="s">
        <v>504</v>
      </c>
      <c r="E513" s="27">
        <v>44413</v>
      </c>
      <c r="F513" s="3">
        <f t="shared" si="24"/>
        <v>45382</v>
      </c>
      <c r="G513" s="28">
        <v>15498</v>
      </c>
      <c r="H513" s="32">
        <f t="shared" si="25"/>
        <v>180</v>
      </c>
      <c r="I513" s="4">
        <v>1559.5579999999998</v>
      </c>
      <c r="J513" s="3"/>
      <c r="K513" s="28"/>
      <c r="L513" s="8"/>
      <c r="M513" s="9"/>
      <c r="N513" s="9"/>
      <c r="O513" s="9"/>
      <c r="P513" s="9"/>
      <c r="Q513" s="34"/>
    </row>
    <row r="514" spans="1:17" s="26" customFormat="1" x14ac:dyDescent="0.3">
      <c r="A514" s="32">
        <f t="shared" si="23"/>
        <v>513</v>
      </c>
      <c r="B514" s="33" t="s">
        <v>555</v>
      </c>
      <c r="C514" s="26" t="s">
        <v>535</v>
      </c>
      <c r="D514" s="26" t="s">
        <v>504</v>
      </c>
      <c r="E514" s="27">
        <v>44413</v>
      </c>
      <c r="F514" s="3">
        <f t="shared" si="24"/>
        <v>45382</v>
      </c>
      <c r="G514" s="28">
        <v>33842</v>
      </c>
      <c r="H514" s="32">
        <f t="shared" si="25"/>
        <v>180</v>
      </c>
      <c r="I514" s="4">
        <v>3405.507925925926</v>
      </c>
      <c r="J514" s="3"/>
      <c r="K514" s="28"/>
      <c r="L514" s="8"/>
      <c r="M514" s="9"/>
      <c r="N514" s="9"/>
      <c r="O514" s="9"/>
      <c r="P514" s="9"/>
      <c r="Q514" s="34"/>
    </row>
    <row r="515" spans="1:17" s="26" customFormat="1" x14ac:dyDescent="0.3">
      <c r="A515" s="32">
        <f t="shared" ref="A515:A578" si="26">A514+1</f>
        <v>514</v>
      </c>
      <c r="B515" s="33" t="s">
        <v>556</v>
      </c>
      <c r="C515" s="26" t="s">
        <v>535</v>
      </c>
      <c r="D515" s="26" t="s">
        <v>504</v>
      </c>
      <c r="E515" s="27">
        <v>44436</v>
      </c>
      <c r="F515" s="3">
        <f t="shared" si="24"/>
        <v>45382</v>
      </c>
      <c r="G515" s="28">
        <v>14261</v>
      </c>
      <c r="H515" s="32">
        <f t="shared" si="25"/>
        <v>180</v>
      </c>
      <c r="I515" s="4">
        <v>1435.0791481481481</v>
      </c>
      <c r="J515" s="3"/>
      <c r="K515" s="28"/>
      <c r="L515" s="8"/>
      <c r="M515" s="9"/>
      <c r="N515" s="9"/>
      <c r="O515" s="9"/>
      <c r="P515" s="9"/>
      <c r="Q515" s="34"/>
    </row>
    <row r="516" spans="1:17" s="26" customFormat="1" x14ac:dyDescent="0.3">
      <c r="A516" s="32">
        <f t="shared" si="26"/>
        <v>515</v>
      </c>
      <c r="B516" s="33" t="s">
        <v>557</v>
      </c>
      <c r="C516" s="26" t="s">
        <v>535</v>
      </c>
      <c r="D516" s="26" t="s">
        <v>504</v>
      </c>
      <c r="E516" s="27">
        <v>44459</v>
      </c>
      <c r="F516" s="3">
        <f t="shared" ref="F516:F579" si="27">F515</f>
        <v>45382</v>
      </c>
      <c r="G516" s="28">
        <v>21240</v>
      </c>
      <c r="H516" s="32">
        <f t="shared" si="25"/>
        <v>180</v>
      </c>
      <c r="I516" s="4">
        <v>2025.2733333333331</v>
      </c>
      <c r="J516" s="3"/>
      <c r="K516" s="28"/>
      <c r="L516" s="8"/>
      <c r="M516" s="9"/>
      <c r="N516" s="9"/>
      <c r="O516" s="9"/>
      <c r="P516" s="9"/>
      <c r="Q516" s="34"/>
    </row>
    <row r="517" spans="1:17" x14ac:dyDescent="0.3">
      <c r="A517" s="32">
        <f t="shared" si="26"/>
        <v>516</v>
      </c>
      <c r="B517" s="21" t="s">
        <v>558</v>
      </c>
      <c r="C517" s="2" t="s">
        <v>535</v>
      </c>
      <c r="D517" s="20" t="s">
        <v>559</v>
      </c>
      <c r="E517" s="18">
        <v>44603</v>
      </c>
      <c r="F517" s="3">
        <f t="shared" si="27"/>
        <v>45382</v>
      </c>
      <c r="G517" s="28">
        <v>6500</v>
      </c>
      <c r="H517" s="32">
        <f t="shared" si="25"/>
        <v>180</v>
      </c>
      <c r="I517" s="4">
        <v>447.11574074074076</v>
      </c>
      <c r="K517" s="28"/>
      <c r="L517" s="8"/>
      <c r="M517" s="9"/>
      <c r="N517" s="9"/>
      <c r="O517" s="9"/>
      <c r="P517" s="9"/>
      <c r="Q517" s="10"/>
    </row>
    <row r="518" spans="1:17" s="11" customFormat="1" x14ac:dyDescent="0.3">
      <c r="A518" s="35">
        <f t="shared" si="26"/>
        <v>517</v>
      </c>
      <c r="B518" s="36" t="s">
        <v>560</v>
      </c>
      <c r="C518" s="11" t="s">
        <v>535</v>
      </c>
      <c r="D518" s="37" t="s">
        <v>559</v>
      </c>
      <c r="E518" s="38">
        <v>44629</v>
      </c>
      <c r="F518" s="3">
        <f t="shared" si="27"/>
        <v>45382</v>
      </c>
      <c r="G518" s="39">
        <v>10620</v>
      </c>
      <c r="H518" s="35">
        <f t="shared" si="25"/>
        <v>180</v>
      </c>
      <c r="I518" s="4">
        <v>672.59999999999991</v>
      </c>
      <c r="J518" s="3"/>
      <c r="K518" s="39"/>
      <c r="L518" s="8"/>
      <c r="M518" s="9"/>
      <c r="N518" s="9"/>
      <c r="O518" s="9"/>
      <c r="P518" s="9"/>
      <c r="Q518" s="40"/>
    </row>
    <row r="519" spans="1:17" x14ac:dyDescent="0.3">
      <c r="A519" s="32">
        <f t="shared" si="26"/>
        <v>518</v>
      </c>
      <c r="B519" s="21" t="s">
        <v>561</v>
      </c>
      <c r="C519" s="2" t="s">
        <v>562</v>
      </c>
      <c r="D519" s="20" t="s">
        <v>17</v>
      </c>
      <c r="E519" s="18">
        <v>44819</v>
      </c>
      <c r="F519" s="3">
        <f t="shared" si="27"/>
        <v>45382</v>
      </c>
      <c r="G519" s="28">
        <v>66970</v>
      </c>
      <c r="H519" s="32">
        <f t="shared" si="25"/>
        <v>180</v>
      </c>
      <c r="I519" s="4">
        <v>2144.280185185185</v>
      </c>
      <c r="K519" s="28"/>
      <c r="L519" s="8"/>
      <c r="M519" s="9"/>
      <c r="N519" s="9"/>
      <c r="O519" s="9"/>
      <c r="P519" s="9"/>
      <c r="Q519" s="10"/>
    </row>
    <row r="520" spans="1:17" x14ac:dyDescent="0.3">
      <c r="A520" s="32">
        <f t="shared" si="26"/>
        <v>519</v>
      </c>
      <c r="B520" s="21" t="s">
        <v>563</v>
      </c>
      <c r="C520" s="2" t="s">
        <v>562</v>
      </c>
      <c r="D520" s="20" t="s">
        <v>449</v>
      </c>
      <c r="E520" s="18">
        <v>44782</v>
      </c>
      <c r="F520" s="3">
        <f t="shared" si="27"/>
        <v>45382</v>
      </c>
      <c r="G520" s="28">
        <v>38001</v>
      </c>
      <c r="H520" s="32">
        <f t="shared" si="25"/>
        <v>180</v>
      </c>
      <c r="I520" s="4">
        <v>1417.2965555555554</v>
      </c>
      <c r="K520" s="28"/>
      <c r="L520" s="8"/>
      <c r="M520" s="9"/>
      <c r="N520" s="9"/>
      <c r="O520" s="9"/>
      <c r="P520" s="9"/>
      <c r="Q520" s="10"/>
    </row>
    <row r="521" spans="1:17" x14ac:dyDescent="0.3">
      <c r="A521" s="32">
        <f t="shared" si="26"/>
        <v>520</v>
      </c>
      <c r="B521" s="21" t="s">
        <v>564</v>
      </c>
      <c r="C521" s="2" t="s">
        <v>562</v>
      </c>
      <c r="D521" s="20" t="s">
        <v>321</v>
      </c>
      <c r="E521" s="18">
        <v>44758</v>
      </c>
      <c r="F521" s="3">
        <f t="shared" si="27"/>
        <v>45382</v>
      </c>
      <c r="G521" s="28">
        <v>657850</v>
      </c>
      <c r="H521" s="32">
        <f t="shared" si="25"/>
        <v>180</v>
      </c>
      <c r="I521" s="4">
        <v>28123.087500000001</v>
      </c>
      <c r="K521" s="28"/>
      <c r="L521" s="8"/>
      <c r="M521" s="9"/>
      <c r="N521" s="9"/>
      <c r="O521" s="9"/>
      <c r="P521" s="9"/>
      <c r="Q521" s="10"/>
    </row>
    <row r="522" spans="1:17" x14ac:dyDescent="0.3">
      <c r="A522" s="32">
        <f t="shared" si="26"/>
        <v>521</v>
      </c>
      <c r="B522" s="21" t="s">
        <v>565</v>
      </c>
      <c r="C522" s="2" t="s">
        <v>562</v>
      </c>
      <c r="D522" s="20" t="s">
        <v>17</v>
      </c>
      <c r="E522" s="18">
        <v>44755</v>
      </c>
      <c r="F522" s="3">
        <f t="shared" si="27"/>
        <v>45382</v>
      </c>
      <c r="G522" s="28">
        <v>45430</v>
      </c>
      <c r="H522" s="32">
        <f t="shared" si="25"/>
        <v>180</v>
      </c>
      <c r="I522" s="4">
        <v>1942.1324999999999</v>
      </c>
      <c r="K522" s="28"/>
      <c r="L522" s="8"/>
      <c r="M522" s="9"/>
      <c r="N522" s="9"/>
      <c r="O522" s="9"/>
      <c r="P522" s="9"/>
      <c r="Q522" s="10"/>
    </row>
    <row r="523" spans="1:17" x14ac:dyDescent="0.3">
      <c r="A523" s="32">
        <f t="shared" si="26"/>
        <v>522</v>
      </c>
      <c r="B523" s="21" t="s">
        <v>566</v>
      </c>
      <c r="C523" s="2" t="s">
        <v>562</v>
      </c>
      <c r="D523" s="20" t="s">
        <v>321</v>
      </c>
      <c r="E523" s="18">
        <v>44753</v>
      </c>
      <c r="F523" s="3">
        <f t="shared" si="27"/>
        <v>45382</v>
      </c>
      <c r="G523" s="28">
        <v>11500</v>
      </c>
      <c r="H523" s="32">
        <f t="shared" si="25"/>
        <v>180</v>
      </c>
      <c r="I523" s="4">
        <v>491.62499999999994</v>
      </c>
      <c r="K523" s="28"/>
      <c r="L523" s="8"/>
      <c r="M523" s="9"/>
      <c r="N523" s="9"/>
      <c r="O523" s="9"/>
      <c r="P523" s="9"/>
      <c r="Q523" s="10"/>
    </row>
    <row r="524" spans="1:17" x14ac:dyDescent="0.3">
      <c r="A524" s="32">
        <f t="shared" si="26"/>
        <v>523</v>
      </c>
      <c r="B524" s="21" t="s">
        <v>567</v>
      </c>
      <c r="C524" s="2" t="s">
        <v>562</v>
      </c>
      <c r="D524" s="20" t="s">
        <v>321</v>
      </c>
      <c r="E524" s="18">
        <v>44749</v>
      </c>
      <c r="F524" s="3">
        <f t="shared" si="27"/>
        <v>45382</v>
      </c>
      <c r="G524" s="28">
        <v>1400</v>
      </c>
      <c r="H524" s="32">
        <f t="shared" si="25"/>
        <v>180</v>
      </c>
      <c r="I524" s="4">
        <v>59.85</v>
      </c>
      <c r="K524" s="28"/>
      <c r="L524" s="8"/>
      <c r="M524" s="9"/>
      <c r="N524" s="9"/>
      <c r="O524" s="9"/>
      <c r="P524" s="9"/>
      <c r="Q524" s="10"/>
    </row>
    <row r="525" spans="1:17" x14ac:dyDescent="0.3">
      <c r="A525" s="32">
        <f t="shared" si="26"/>
        <v>524</v>
      </c>
      <c r="B525" s="21" t="s">
        <v>568</v>
      </c>
      <c r="C525" s="2" t="s">
        <v>562</v>
      </c>
      <c r="D525" s="20" t="s">
        <v>321</v>
      </c>
      <c r="E525" s="18">
        <v>44726</v>
      </c>
      <c r="F525" s="3">
        <f t="shared" si="27"/>
        <v>45382</v>
      </c>
      <c r="G525" s="28">
        <v>111864</v>
      </c>
      <c r="H525" s="32">
        <f t="shared" si="25"/>
        <v>180</v>
      </c>
      <c r="I525" s="4">
        <v>5392.2591111111105</v>
      </c>
      <c r="K525" s="28"/>
      <c r="L525" s="8"/>
      <c r="M525" s="9"/>
      <c r="N525" s="9"/>
      <c r="O525" s="9"/>
      <c r="P525" s="9"/>
      <c r="Q525" s="10"/>
    </row>
    <row r="526" spans="1:17" x14ac:dyDescent="0.3">
      <c r="A526" s="32">
        <f t="shared" si="26"/>
        <v>525</v>
      </c>
      <c r="B526" s="21" t="s">
        <v>569</v>
      </c>
      <c r="C526" s="2" t="s">
        <v>562</v>
      </c>
      <c r="D526" s="20" t="s">
        <v>321</v>
      </c>
      <c r="E526" s="18">
        <v>44712</v>
      </c>
      <c r="F526" s="3">
        <f t="shared" si="27"/>
        <v>45382</v>
      </c>
      <c r="G526" s="28">
        <v>15000</v>
      </c>
      <c r="H526" s="32">
        <f t="shared" si="25"/>
        <v>180</v>
      </c>
      <c r="I526" s="4">
        <v>802.22222222222229</v>
      </c>
      <c r="K526" s="28"/>
      <c r="L526" s="8"/>
      <c r="M526" s="9"/>
      <c r="N526" s="9"/>
      <c r="O526" s="9"/>
      <c r="P526" s="9"/>
      <c r="Q526" s="10"/>
    </row>
    <row r="527" spans="1:17" x14ac:dyDescent="0.3">
      <c r="A527" s="32">
        <f t="shared" si="26"/>
        <v>526</v>
      </c>
      <c r="B527" s="21" t="s">
        <v>570</v>
      </c>
      <c r="C527" s="2" t="s">
        <v>562</v>
      </c>
      <c r="D527" s="20" t="s">
        <v>321</v>
      </c>
      <c r="E527" s="18">
        <v>44699</v>
      </c>
      <c r="F527" s="3">
        <f t="shared" si="27"/>
        <v>45382</v>
      </c>
      <c r="G527" s="28">
        <v>2350000</v>
      </c>
      <c r="H527" s="32">
        <f t="shared" si="25"/>
        <v>180</v>
      </c>
      <c r="I527" s="4">
        <v>125681.48148148147</v>
      </c>
      <c r="K527" s="28"/>
      <c r="L527" s="8"/>
      <c r="M527" s="9"/>
      <c r="N527" s="9"/>
      <c r="O527" s="9"/>
      <c r="P527" s="9"/>
      <c r="Q527" s="10"/>
    </row>
    <row r="528" spans="1:17" x14ac:dyDescent="0.3">
      <c r="A528" s="32">
        <f t="shared" si="26"/>
        <v>527</v>
      </c>
      <c r="B528" s="21" t="s">
        <v>571</v>
      </c>
      <c r="C528" s="2" t="s">
        <v>562</v>
      </c>
      <c r="D528" s="20" t="s">
        <v>321</v>
      </c>
      <c r="E528" s="18">
        <v>44699</v>
      </c>
      <c r="F528" s="3">
        <f t="shared" si="27"/>
        <v>45382</v>
      </c>
      <c r="G528" s="28">
        <v>132200</v>
      </c>
      <c r="H528" s="32">
        <f t="shared" si="25"/>
        <v>180</v>
      </c>
      <c r="I528" s="4">
        <v>7070.2518518518509</v>
      </c>
      <c r="K528" s="28"/>
      <c r="L528" s="8"/>
      <c r="M528" s="9"/>
      <c r="N528" s="9"/>
      <c r="O528" s="9"/>
      <c r="P528" s="9"/>
      <c r="Q528" s="10"/>
    </row>
    <row r="529" spans="1:17" x14ac:dyDescent="0.3">
      <c r="A529" s="32">
        <f t="shared" si="26"/>
        <v>528</v>
      </c>
      <c r="B529" s="21" t="s">
        <v>572</v>
      </c>
      <c r="C529" s="2" t="s">
        <v>562</v>
      </c>
      <c r="D529" s="20" t="s">
        <v>321</v>
      </c>
      <c r="E529" s="18">
        <v>44699</v>
      </c>
      <c r="F529" s="3">
        <f t="shared" si="27"/>
        <v>45382</v>
      </c>
      <c r="G529" s="28">
        <v>297000</v>
      </c>
      <c r="H529" s="32">
        <f t="shared" si="25"/>
        <v>180</v>
      </c>
      <c r="I529" s="4">
        <v>15884</v>
      </c>
      <c r="K529" s="28"/>
      <c r="L529" s="8"/>
      <c r="M529" s="9"/>
      <c r="N529" s="9"/>
      <c r="O529" s="9"/>
      <c r="P529" s="9"/>
      <c r="Q529" s="10"/>
    </row>
    <row r="530" spans="1:17" x14ac:dyDescent="0.3">
      <c r="A530" s="32">
        <f t="shared" si="26"/>
        <v>529</v>
      </c>
      <c r="B530" s="21" t="s">
        <v>573</v>
      </c>
      <c r="C530" s="2" t="s">
        <v>562</v>
      </c>
      <c r="D530" s="20" t="s">
        <v>321</v>
      </c>
      <c r="E530" s="18">
        <v>44699</v>
      </c>
      <c r="F530" s="3">
        <f t="shared" si="27"/>
        <v>45382</v>
      </c>
      <c r="G530" s="28">
        <v>85200</v>
      </c>
      <c r="H530" s="32">
        <f t="shared" si="25"/>
        <v>180</v>
      </c>
      <c r="I530" s="4">
        <v>4556.6222222222223</v>
      </c>
      <c r="K530" s="28"/>
      <c r="L530" s="8"/>
      <c r="M530" s="9"/>
      <c r="N530" s="9"/>
      <c r="O530" s="9"/>
      <c r="P530" s="9"/>
      <c r="Q530" s="10"/>
    </row>
    <row r="531" spans="1:17" x14ac:dyDescent="0.3">
      <c r="A531" s="32">
        <f t="shared" si="26"/>
        <v>530</v>
      </c>
      <c r="B531" s="21" t="s">
        <v>574</v>
      </c>
      <c r="C531" s="2" t="s">
        <v>562</v>
      </c>
      <c r="D531" s="20" t="s">
        <v>449</v>
      </c>
      <c r="E531" s="18">
        <v>44692</v>
      </c>
      <c r="F531" s="3">
        <f t="shared" si="27"/>
        <v>45382</v>
      </c>
      <c r="G531" s="28">
        <v>11800</v>
      </c>
      <c r="H531" s="32">
        <f t="shared" si="25"/>
        <v>180</v>
      </c>
      <c r="I531" s="4">
        <v>631.08148148148143</v>
      </c>
      <c r="K531" s="28"/>
      <c r="L531" s="8"/>
      <c r="M531" s="9"/>
      <c r="N531" s="9"/>
      <c r="O531" s="9"/>
      <c r="P531" s="9"/>
      <c r="Q531" s="10"/>
    </row>
    <row r="532" spans="1:17" x14ac:dyDescent="0.3">
      <c r="A532" s="32">
        <f t="shared" si="26"/>
        <v>531</v>
      </c>
      <c r="B532" s="21" t="s">
        <v>575</v>
      </c>
      <c r="C532" s="2" t="s">
        <v>562</v>
      </c>
      <c r="D532" s="20" t="s">
        <v>321</v>
      </c>
      <c r="E532" s="18">
        <v>44795</v>
      </c>
      <c r="F532" s="3">
        <f t="shared" si="27"/>
        <v>45382</v>
      </c>
      <c r="G532" s="28">
        <v>2464</v>
      </c>
      <c r="H532" s="32">
        <f t="shared" si="25"/>
        <v>180</v>
      </c>
      <c r="I532" s="4">
        <v>91.89807407407406</v>
      </c>
      <c r="K532" s="28"/>
      <c r="L532" s="8"/>
      <c r="M532" s="9"/>
      <c r="N532" s="9"/>
      <c r="O532" s="9"/>
      <c r="P532" s="9"/>
      <c r="Q532" s="10"/>
    </row>
    <row r="533" spans="1:17" x14ac:dyDescent="0.3">
      <c r="A533" s="32">
        <f t="shared" si="26"/>
        <v>532</v>
      </c>
      <c r="B533" s="21" t="s">
        <v>576</v>
      </c>
      <c r="C533" s="2" t="s">
        <v>562</v>
      </c>
      <c r="D533" s="20" t="s">
        <v>321</v>
      </c>
      <c r="E533" s="18">
        <v>44773</v>
      </c>
      <c r="F533" s="3">
        <f t="shared" si="27"/>
        <v>45382</v>
      </c>
      <c r="G533" s="28">
        <v>12980</v>
      </c>
      <c r="H533" s="32">
        <f t="shared" si="25"/>
        <v>180</v>
      </c>
      <c r="I533" s="4">
        <v>554.89499999999998</v>
      </c>
      <c r="K533" s="28"/>
      <c r="L533" s="8"/>
      <c r="M533" s="9"/>
      <c r="N533" s="9"/>
      <c r="O533" s="9"/>
      <c r="P533" s="9"/>
      <c r="Q533" s="10"/>
    </row>
    <row r="534" spans="1:17" x14ac:dyDescent="0.3">
      <c r="A534" s="32">
        <f t="shared" si="26"/>
        <v>533</v>
      </c>
      <c r="B534" s="21" t="s">
        <v>577</v>
      </c>
      <c r="C534" s="2" t="s">
        <v>562</v>
      </c>
      <c r="D534" s="20" t="s">
        <v>449</v>
      </c>
      <c r="E534" s="18">
        <v>44796</v>
      </c>
      <c r="F534" s="3">
        <f t="shared" si="27"/>
        <v>45382</v>
      </c>
      <c r="G534" s="28">
        <v>86688</v>
      </c>
      <c r="H534" s="32">
        <f t="shared" si="25"/>
        <v>180</v>
      </c>
      <c r="I534" s="4">
        <v>3233.1413333333326</v>
      </c>
      <c r="K534" s="28"/>
      <c r="L534" s="8"/>
      <c r="M534" s="9"/>
      <c r="N534" s="9"/>
      <c r="O534" s="9"/>
      <c r="P534" s="9"/>
      <c r="Q534" s="10"/>
    </row>
    <row r="535" spans="1:17" x14ac:dyDescent="0.3">
      <c r="A535" s="32">
        <f t="shared" si="26"/>
        <v>534</v>
      </c>
      <c r="B535" s="21" t="s">
        <v>578</v>
      </c>
      <c r="C535" s="2" t="s">
        <v>562</v>
      </c>
      <c r="D535" s="20" t="s">
        <v>321</v>
      </c>
      <c r="E535" s="18">
        <v>44847</v>
      </c>
      <c r="F535" s="3">
        <f t="shared" si="27"/>
        <v>45382</v>
      </c>
      <c r="G535" s="28">
        <v>6299</v>
      </c>
      <c r="H535" s="32">
        <f t="shared" si="25"/>
        <v>180</v>
      </c>
      <c r="I535" s="4">
        <v>167.33176851851849</v>
      </c>
      <c r="K535" s="28"/>
      <c r="L535" s="8"/>
      <c r="M535" s="9"/>
      <c r="N535" s="9"/>
      <c r="O535" s="9"/>
      <c r="P535" s="9"/>
      <c r="Q535" s="10"/>
    </row>
    <row r="536" spans="1:17" x14ac:dyDescent="0.3">
      <c r="A536" s="32">
        <f t="shared" si="26"/>
        <v>535</v>
      </c>
      <c r="B536" s="21" t="s">
        <v>579</v>
      </c>
      <c r="C536" s="2" t="s">
        <v>562</v>
      </c>
      <c r="D536" s="20" t="s">
        <v>321</v>
      </c>
      <c r="E536" s="18">
        <v>44859</v>
      </c>
      <c r="F536" s="3">
        <f t="shared" si="27"/>
        <v>45382</v>
      </c>
      <c r="G536" s="28">
        <v>7800</v>
      </c>
      <c r="H536" s="32">
        <f t="shared" si="25"/>
        <v>180</v>
      </c>
      <c r="I536" s="4">
        <v>207.20555555555555</v>
      </c>
      <c r="K536" s="28"/>
      <c r="L536" s="8"/>
      <c r="M536" s="9"/>
      <c r="N536" s="9"/>
      <c r="O536" s="9"/>
      <c r="P536" s="9"/>
      <c r="Q536" s="10"/>
    </row>
    <row r="537" spans="1:17" x14ac:dyDescent="0.3">
      <c r="A537" s="32">
        <f t="shared" si="26"/>
        <v>536</v>
      </c>
      <c r="B537" s="21" t="s">
        <v>580</v>
      </c>
      <c r="C537" s="2" t="s">
        <v>562</v>
      </c>
      <c r="D537" s="20" t="s">
        <v>321</v>
      </c>
      <c r="E537" s="18">
        <v>44931</v>
      </c>
      <c r="F537" s="3">
        <f t="shared" si="27"/>
        <v>45382</v>
      </c>
      <c r="G537" s="28">
        <v>1074</v>
      </c>
      <c r="H537" s="32">
        <f t="shared" si="25"/>
        <v>180</v>
      </c>
      <c r="I537" s="4">
        <v>11.147722222222221</v>
      </c>
      <c r="K537" s="28"/>
      <c r="L537" s="8"/>
      <c r="M537" s="9"/>
      <c r="N537" s="9"/>
      <c r="O537" s="9"/>
      <c r="P537" s="9"/>
      <c r="Q537" s="10"/>
    </row>
    <row r="538" spans="1:17" x14ac:dyDescent="0.3">
      <c r="A538" s="32">
        <f t="shared" si="26"/>
        <v>537</v>
      </c>
      <c r="B538" s="21" t="s">
        <v>581</v>
      </c>
      <c r="C538" s="2" t="s">
        <v>562</v>
      </c>
      <c r="D538" s="20" t="s">
        <v>449</v>
      </c>
      <c r="E538" s="18">
        <v>44847</v>
      </c>
      <c r="F538" s="3">
        <f t="shared" si="27"/>
        <v>45382</v>
      </c>
      <c r="G538" s="28">
        <v>12001</v>
      </c>
      <c r="H538" s="32">
        <f t="shared" si="25"/>
        <v>180</v>
      </c>
      <c r="I538" s="4">
        <v>318.80434259259255</v>
      </c>
      <c r="K538" s="28"/>
      <c r="L538" s="8"/>
      <c r="M538" s="9"/>
      <c r="N538" s="9"/>
      <c r="O538" s="9"/>
      <c r="P538" s="9"/>
      <c r="Q538" s="10"/>
    </row>
    <row r="539" spans="1:17" x14ac:dyDescent="0.3">
      <c r="A539" s="32">
        <f t="shared" si="26"/>
        <v>538</v>
      </c>
      <c r="B539" s="21" t="s">
        <v>582</v>
      </c>
      <c r="C539" s="2" t="s">
        <v>562</v>
      </c>
      <c r="D539" s="20" t="s">
        <v>449</v>
      </c>
      <c r="E539" s="18">
        <v>44854</v>
      </c>
      <c r="F539" s="3">
        <f t="shared" si="27"/>
        <v>45382</v>
      </c>
      <c r="G539" s="28">
        <v>-45397</v>
      </c>
      <c r="H539" s="32">
        <f t="shared" si="25"/>
        <v>180</v>
      </c>
      <c r="I539" s="4">
        <v>-1205.9628981481483</v>
      </c>
      <c r="K539" s="28"/>
      <c r="L539" s="8"/>
      <c r="M539" s="9"/>
      <c r="N539" s="9"/>
      <c r="O539" s="9"/>
      <c r="P539" s="9"/>
      <c r="Q539" s="10"/>
    </row>
    <row r="540" spans="1:17" x14ac:dyDescent="0.3">
      <c r="A540" s="32">
        <f t="shared" si="26"/>
        <v>539</v>
      </c>
      <c r="B540" s="21" t="s">
        <v>583</v>
      </c>
      <c r="C540" s="2" t="s">
        <v>562</v>
      </c>
      <c r="D540" s="20" t="s">
        <v>449</v>
      </c>
      <c r="E540" s="18">
        <v>44876</v>
      </c>
      <c r="F540" s="3">
        <f t="shared" si="27"/>
        <v>45382</v>
      </c>
      <c r="G540" s="28">
        <v>95232</v>
      </c>
      <c r="H540" s="32">
        <f t="shared" si="25"/>
        <v>180</v>
      </c>
      <c r="I540" s="4">
        <v>2027.2071111111109</v>
      </c>
      <c r="K540" s="28"/>
      <c r="L540" s="8"/>
      <c r="M540" s="9"/>
      <c r="N540" s="9"/>
      <c r="O540" s="9"/>
      <c r="P540" s="9"/>
      <c r="Q540" s="10"/>
    </row>
    <row r="541" spans="1:17" x14ac:dyDescent="0.3">
      <c r="A541" s="32">
        <f t="shared" si="26"/>
        <v>540</v>
      </c>
      <c r="B541" s="21" t="s">
        <v>584</v>
      </c>
      <c r="C541" s="2" t="s">
        <v>562</v>
      </c>
      <c r="D541" s="20" t="s">
        <v>449</v>
      </c>
      <c r="E541" s="18">
        <v>44882</v>
      </c>
      <c r="F541" s="3">
        <f t="shared" si="27"/>
        <v>45382</v>
      </c>
      <c r="G541" s="28">
        <v>28320</v>
      </c>
      <c r="H541" s="32">
        <f t="shared" si="25"/>
        <v>180</v>
      </c>
      <c r="I541" s="4">
        <v>602.84888888888884</v>
      </c>
      <c r="K541" s="28"/>
      <c r="L541" s="8"/>
      <c r="M541" s="9"/>
      <c r="N541" s="9"/>
      <c r="O541" s="9"/>
      <c r="P541" s="9"/>
      <c r="Q541" s="10"/>
    </row>
    <row r="542" spans="1:17" x14ac:dyDescent="0.3">
      <c r="A542" s="32">
        <f t="shared" si="26"/>
        <v>541</v>
      </c>
      <c r="B542" s="21" t="s">
        <v>585</v>
      </c>
      <c r="C542" s="2" t="s">
        <v>562</v>
      </c>
      <c r="D542" s="20" t="s">
        <v>449</v>
      </c>
      <c r="E542" s="18">
        <v>44882</v>
      </c>
      <c r="F542" s="3">
        <f t="shared" si="27"/>
        <v>45382</v>
      </c>
      <c r="G542" s="28">
        <v>101244</v>
      </c>
      <c r="H542" s="32">
        <f t="shared" si="25"/>
        <v>180</v>
      </c>
      <c r="I542" s="4">
        <v>2155.1847777777775</v>
      </c>
      <c r="K542" s="28"/>
      <c r="L542" s="8"/>
      <c r="M542" s="9"/>
      <c r="N542" s="9"/>
      <c r="O542" s="9"/>
      <c r="P542" s="9"/>
      <c r="Q542" s="10"/>
    </row>
    <row r="543" spans="1:17" x14ac:dyDescent="0.3">
      <c r="A543" s="32">
        <f t="shared" si="26"/>
        <v>542</v>
      </c>
      <c r="B543" s="21" t="s">
        <v>586</v>
      </c>
      <c r="C543" s="2" t="s">
        <v>562</v>
      </c>
      <c r="D543" s="20" t="s">
        <v>449</v>
      </c>
      <c r="E543" s="18">
        <v>44921</v>
      </c>
      <c r="F543" s="3">
        <f t="shared" si="27"/>
        <v>45382</v>
      </c>
      <c r="G543" s="28">
        <v>9204</v>
      </c>
      <c r="H543" s="32">
        <f t="shared" si="25"/>
        <v>180</v>
      </c>
      <c r="I543" s="4">
        <v>145.72999999999999</v>
      </c>
      <c r="K543" s="28"/>
      <c r="L543" s="8"/>
      <c r="M543" s="9"/>
      <c r="N543" s="9"/>
      <c r="O543" s="9"/>
      <c r="P543" s="9"/>
      <c r="Q543" s="10"/>
    </row>
    <row r="544" spans="1:17" s="11" customFormat="1" x14ac:dyDescent="0.3">
      <c r="A544" s="35">
        <f t="shared" si="26"/>
        <v>543</v>
      </c>
      <c r="B544" s="36" t="s">
        <v>587</v>
      </c>
      <c r="C544" s="11" t="s">
        <v>562</v>
      </c>
      <c r="D544" s="37" t="s">
        <v>321</v>
      </c>
      <c r="E544" s="38">
        <v>45012</v>
      </c>
      <c r="F544" s="3">
        <f t="shared" si="27"/>
        <v>45382</v>
      </c>
      <c r="G544" s="39">
        <v>3150</v>
      </c>
      <c r="H544" s="35">
        <f t="shared" si="25"/>
        <v>180</v>
      </c>
      <c r="I544" s="14">
        <v>0</v>
      </c>
      <c r="J544" s="3"/>
      <c r="K544" s="39"/>
      <c r="L544" s="8"/>
      <c r="M544" s="9"/>
      <c r="N544" s="9"/>
      <c r="O544" s="9"/>
      <c r="P544" s="9"/>
      <c r="Q544" s="40"/>
    </row>
    <row r="545" spans="1:17" x14ac:dyDescent="0.3">
      <c r="A545" s="32">
        <f t="shared" si="26"/>
        <v>544</v>
      </c>
      <c r="B545" s="21" t="s">
        <v>588</v>
      </c>
      <c r="C545" s="2" t="s">
        <v>589</v>
      </c>
      <c r="D545" s="20" t="s">
        <v>321</v>
      </c>
      <c r="E545" s="18">
        <v>45114</v>
      </c>
      <c r="F545" s="3">
        <f t="shared" si="27"/>
        <v>45382</v>
      </c>
      <c r="G545" s="28">
        <v>27200</v>
      </c>
      <c r="H545" s="32">
        <f t="shared" si="25"/>
        <v>180</v>
      </c>
      <c r="I545" s="4">
        <v>0</v>
      </c>
      <c r="K545" s="28"/>
      <c r="L545" s="8"/>
      <c r="M545" s="9"/>
      <c r="N545" s="9"/>
      <c r="O545" s="9"/>
      <c r="P545" s="9"/>
      <c r="Q545" s="10"/>
    </row>
    <row r="546" spans="1:17" x14ac:dyDescent="0.3">
      <c r="A546" s="32">
        <f t="shared" si="26"/>
        <v>545</v>
      </c>
      <c r="B546" s="21" t="s">
        <v>590</v>
      </c>
      <c r="C546" s="2" t="s">
        <v>589</v>
      </c>
      <c r="D546" s="20" t="s">
        <v>321</v>
      </c>
      <c r="E546" s="18">
        <v>45341</v>
      </c>
      <c r="F546" s="3">
        <f t="shared" si="27"/>
        <v>45382</v>
      </c>
      <c r="G546" s="28">
        <v>40519</v>
      </c>
      <c r="H546" s="32">
        <f t="shared" si="25"/>
        <v>180</v>
      </c>
      <c r="I546" s="4">
        <v>0</v>
      </c>
      <c r="K546" s="28"/>
      <c r="L546" s="8"/>
      <c r="M546" s="9"/>
      <c r="N546" s="9"/>
      <c r="O546" s="9"/>
      <c r="P546" s="9"/>
      <c r="Q546" s="10"/>
    </row>
    <row r="547" spans="1:17" x14ac:dyDescent="0.3">
      <c r="A547" s="32">
        <f t="shared" si="26"/>
        <v>546</v>
      </c>
      <c r="B547" s="21" t="s">
        <v>591</v>
      </c>
      <c r="C547" s="2" t="s">
        <v>589</v>
      </c>
      <c r="D547" s="20" t="s">
        <v>321</v>
      </c>
      <c r="E547" s="18">
        <v>45084</v>
      </c>
      <c r="F547" s="3">
        <f t="shared" si="27"/>
        <v>45382</v>
      </c>
      <c r="G547" s="28">
        <v>15500</v>
      </c>
      <c r="H547" s="32">
        <f t="shared" si="25"/>
        <v>180</v>
      </c>
      <c r="I547" s="4">
        <v>0</v>
      </c>
      <c r="K547" s="28"/>
      <c r="L547" s="8"/>
      <c r="M547" s="9"/>
      <c r="N547" s="9"/>
      <c r="O547" s="9"/>
      <c r="P547" s="9"/>
      <c r="Q547" s="10"/>
    </row>
    <row r="548" spans="1:17" x14ac:dyDescent="0.3">
      <c r="A548" s="32">
        <f t="shared" si="26"/>
        <v>547</v>
      </c>
      <c r="B548" s="21" t="s">
        <v>592</v>
      </c>
      <c r="C548" s="2" t="s">
        <v>589</v>
      </c>
      <c r="D548" s="20" t="s">
        <v>114</v>
      </c>
      <c r="E548" s="18">
        <v>45075</v>
      </c>
      <c r="F548" s="3">
        <f t="shared" si="27"/>
        <v>45382</v>
      </c>
      <c r="G548" s="28">
        <v>46643</v>
      </c>
      <c r="H548" s="32">
        <f t="shared" si="25"/>
        <v>180</v>
      </c>
      <c r="I548" s="4">
        <v>0</v>
      </c>
      <c r="K548" s="28"/>
      <c r="L548" s="8"/>
      <c r="M548" s="9"/>
      <c r="N548" s="9"/>
      <c r="O548" s="9"/>
      <c r="P548" s="9"/>
      <c r="Q548" s="10"/>
    </row>
    <row r="549" spans="1:17" x14ac:dyDescent="0.3">
      <c r="A549" s="32">
        <f t="shared" si="26"/>
        <v>548</v>
      </c>
      <c r="B549" s="21" t="s">
        <v>593</v>
      </c>
      <c r="C549" s="2" t="s">
        <v>589</v>
      </c>
      <c r="D549" s="20" t="s">
        <v>114</v>
      </c>
      <c r="E549" s="18">
        <v>45083</v>
      </c>
      <c r="F549" s="3">
        <f t="shared" si="27"/>
        <v>45382</v>
      </c>
      <c r="G549" s="28">
        <v>23600</v>
      </c>
      <c r="H549" s="32">
        <f t="shared" si="25"/>
        <v>180</v>
      </c>
      <c r="I549" s="4">
        <v>0</v>
      </c>
      <c r="K549" s="28"/>
      <c r="L549" s="8"/>
      <c r="M549" s="9"/>
      <c r="N549" s="9"/>
      <c r="O549" s="9"/>
      <c r="P549" s="9"/>
      <c r="Q549" s="10"/>
    </row>
    <row r="550" spans="1:17" x14ac:dyDescent="0.3">
      <c r="A550" s="32">
        <f t="shared" si="26"/>
        <v>549</v>
      </c>
      <c r="B550" s="21" t="s">
        <v>594</v>
      </c>
      <c r="C550" s="2" t="s">
        <v>589</v>
      </c>
      <c r="D550" s="20" t="s">
        <v>114</v>
      </c>
      <c r="E550" s="18">
        <v>45161</v>
      </c>
      <c r="F550" s="3">
        <f t="shared" si="27"/>
        <v>45382</v>
      </c>
      <c r="G550" s="28">
        <v>22625</v>
      </c>
      <c r="H550" s="32">
        <f t="shared" si="25"/>
        <v>180</v>
      </c>
      <c r="I550" s="4">
        <v>0</v>
      </c>
      <c r="K550" s="28"/>
      <c r="L550" s="8"/>
      <c r="M550" s="9"/>
      <c r="N550" s="9"/>
      <c r="O550" s="9"/>
      <c r="P550" s="9"/>
      <c r="Q550" s="10"/>
    </row>
    <row r="551" spans="1:17" x14ac:dyDescent="0.3">
      <c r="A551" s="32">
        <f t="shared" si="26"/>
        <v>550</v>
      </c>
      <c r="B551" s="21" t="s">
        <v>595</v>
      </c>
      <c r="C551" s="2" t="s">
        <v>589</v>
      </c>
      <c r="D551" s="20" t="s">
        <v>114</v>
      </c>
      <c r="E551" s="18">
        <v>45208</v>
      </c>
      <c r="F551" s="3">
        <f t="shared" si="27"/>
        <v>45382</v>
      </c>
      <c r="G551" s="28">
        <v>4632</v>
      </c>
      <c r="H551" s="32">
        <f t="shared" si="25"/>
        <v>180</v>
      </c>
      <c r="I551" s="4">
        <v>0</v>
      </c>
      <c r="K551" s="28"/>
      <c r="L551" s="8"/>
      <c r="M551" s="9"/>
      <c r="N551" s="9"/>
      <c r="O551" s="9"/>
      <c r="P551" s="9"/>
      <c r="Q551" s="10"/>
    </row>
    <row r="552" spans="1:17" x14ac:dyDescent="0.3">
      <c r="A552" s="32">
        <f t="shared" si="26"/>
        <v>551</v>
      </c>
      <c r="B552" s="21" t="s">
        <v>596</v>
      </c>
      <c r="C552" s="2" t="s">
        <v>589</v>
      </c>
      <c r="D552" s="20" t="s">
        <v>596</v>
      </c>
      <c r="E552" s="18">
        <v>45306</v>
      </c>
      <c r="F552" s="3">
        <f t="shared" si="27"/>
        <v>45382</v>
      </c>
      <c r="G552" s="28">
        <v>17700</v>
      </c>
      <c r="H552" s="32">
        <f t="shared" si="25"/>
        <v>180</v>
      </c>
      <c r="I552" s="4">
        <v>0</v>
      </c>
      <c r="K552" s="28"/>
      <c r="L552" s="8"/>
      <c r="M552" s="9"/>
      <c r="N552" s="9"/>
      <c r="O552" s="9"/>
      <c r="P552" s="9"/>
      <c r="Q552" s="10"/>
    </row>
    <row r="553" spans="1:17" x14ac:dyDescent="0.3">
      <c r="A553" s="32">
        <f t="shared" si="26"/>
        <v>552</v>
      </c>
      <c r="B553" s="21" t="s">
        <v>597</v>
      </c>
      <c r="C553" s="2" t="s">
        <v>589</v>
      </c>
      <c r="D553" s="20" t="s">
        <v>598</v>
      </c>
      <c r="E553" s="18">
        <v>45106</v>
      </c>
      <c r="F553" s="3">
        <f t="shared" si="27"/>
        <v>45382</v>
      </c>
      <c r="G553" s="28">
        <v>5800</v>
      </c>
      <c r="H553" s="32">
        <f t="shared" si="25"/>
        <v>180</v>
      </c>
      <c r="I553" s="4">
        <v>0</v>
      </c>
      <c r="K553" s="28"/>
      <c r="L553" s="8"/>
      <c r="M553" s="9"/>
      <c r="N553" s="9"/>
      <c r="O553" s="9"/>
      <c r="P553" s="9"/>
      <c r="Q553" s="10"/>
    </row>
    <row r="554" spans="1:17" x14ac:dyDescent="0.3">
      <c r="A554" s="32">
        <f t="shared" si="26"/>
        <v>553</v>
      </c>
      <c r="B554" s="21" t="s">
        <v>599</v>
      </c>
      <c r="C554" s="2" t="s">
        <v>589</v>
      </c>
      <c r="D554" s="20" t="s">
        <v>504</v>
      </c>
      <c r="E554" s="18">
        <v>45353</v>
      </c>
      <c r="F554" s="3">
        <f t="shared" si="27"/>
        <v>45382</v>
      </c>
      <c r="G554" s="28">
        <v>101980</v>
      </c>
      <c r="H554" s="32">
        <f t="shared" si="25"/>
        <v>180</v>
      </c>
      <c r="I554" s="4">
        <v>0</v>
      </c>
      <c r="K554" s="28"/>
      <c r="L554" s="8"/>
      <c r="M554" s="9"/>
      <c r="N554" s="9"/>
      <c r="O554" s="9"/>
      <c r="P554" s="9"/>
      <c r="Q554" s="10"/>
    </row>
    <row r="555" spans="1:17" x14ac:dyDescent="0.3">
      <c r="A555" s="32">
        <f t="shared" si="26"/>
        <v>554</v>
      </c>
      <c r="B555" s="21" t="s">
        <v>600</v>
      </c>
      <c r="C555" s="2" t="s">
        <v>589</v>
      </c>
      <c r="D555" s="20" t="s">
        <v>449</v>
      </c>
      <c r="E555" s="18">
        <v>45033</v>
      </c>
      <c r="F555" s="3">
        <f t="shared" si="27"/>
        <v>45382</v>
      </c>
      <c r="G555" s="28">
        <v>194700</v>
      </c>
      <c r="H555" s="32">
        <f t="shared" si="25"/>
        <v>180</v>
      </c>
      <c r="I555" s="4">
        <v>0</v>
      </c>
      <c r="K555" s="28"/>
      <c r="L555" s="8"/>
      <c r="M555" s="9"/>
      <c r="N555" s="9"/>
      <c r="O555" s="9"/>
      <c r="P555" s="9"/>
      <c r="Q555" s="10"/>
    </row>
    <row r="556" spans="1:17" x14ac:dyDescent="0.3">
      <c r="A556" s="32">
        <f t="shared" si="26"/>
        <v>555</v>
      </c>
      <c r="B556" s="21" t="s">
        <v>601</v>
      </c>
      <c r="C556" s="2" t="s">
        <v>589</v>
      </c>
      <c r="D556" s="20" t="s">
        <v>321</v>
      </c>
      <c r="E556" s="18">
        <v>45243</v>
      </c>
      <c r="F556" s="3">
        <f t="shared" si="27"/>
        <v>45382</v>
      </c>
      <c r="G556" s="28">
        <v>118170</v>
      </c>
      <c r="H556" s="32">
        <f t="shared" si="25"/>
        <v>180</v>
      </c>
      <c r="I556" s="4">
        <v>0</v>
      </c>
      <c r="K556" s="28"/>
      <c r="L556" s="8"/>
      <c r="M556" s="9"/>
      <c r="N556" s="9"/>
      <c r="O556" s="9"/>
      <c r="P556" s="9"/>
      <c r="Q556" s="10"/>
    </row>
    <row r="557" spans="1:17" x14ac:dyDescent="0.3">
      <c r="A557" s="32">
        <f>A554+1</f>
        <v>554</v>
      </c>
      <c r="B557" s="21" t="s">
        <v>602</v>
      </c>
      <c r="C557" s="2" t="s">
        <v>589</v>
      </c>
      <c r="D557" s="20" t="s">
        <v>321</v>
      </c>
      <c r="E557" s="18">
        <v>45334</v>
      </c>
      <c r="F557" s="3">
        <f t="shared" si="27"/>
        <v>45382</v>
      </c>
      <c r="G557" s="28">
        <v>287920</v>
      </c>
      <c r="H557" s="32">
        <f t="shared" si="25"/>
        <v>180</v>
      </c>
      <c r="I557" s="4">
        <v>0</v>
      </c>
      <c r="K557" s="28"/>
      <c r="L557" s="8"/>
      <c r="M557" s="9"/>
      <c r="N557" s="9"/>
      <c r="O557" s="9"/>
      <c r="P557" s="9"/>
      <c r="Q557" s="10"/>
    </row>
    <row r="558" spans="1:17" x14ac:dyDescent="0.3">
      <c r="A558" s="32">
        <f t="shared" ref="A558:A561" si="28">A556+1</f>
        <v>556</v>
      </c>
      <c r="B558" s="21" t="s">
        <v>603</v>
      </c>
      <c r="C558" s="2" t="s">
        <v>589</v>
      </c>
      <c r="D558" s="20" t="s">
        <v>321</v>
      </c>
      <c r="E558" s="18">
        <v>45335</v>
      </c>
      <c r="F558" s="3">
        <f t="shared" si="27"/>
        <v>45382</v>
      </c>
      <c r="G558" s="28">
        <v>742950</v>
      </c>
      <c r="H558" s="32">
        <f t="shared" si="25"/>
        <v>180</v>
      </c>
      <c r="I558" s="4">
        <v>0</v>
      </c>
      <c r="K558" s="28"/>
      <c r="L558" s="8"/>
      <c r="M558" s="9"/>
      <c r="N558" s="9"/>
      <c r="O558" s="9"/>
      <c r="P558" s="9"/>
      <c r="Q558" s="10"/>
    </row>
    <row r="559" spans="1:17" x14ac:dyDescent="0.3">
      <c r="A559" s="32">
        <f t="shared" si="28"/>
        <v>555</v>
      </c>
      <c r="B559" s="21" t="s">
        <v>604</v>
      </c>
      <c r="C559" s="2" t="s">
        <v>589</v>
      </c>
      <c r="D559" s="20" t="s">
        <v>321</v>
      </c>
      <c r="E559" s="18">
        <v>45335</v>
      </c>
      <c r="F559" s="3">
        <f t="shared" si="27"/>
        <v>45382</v>
      </c>
      <c r="G559" s="28">
        <v>110981</v>
      </c>
      <c r="H559" s="32">
        <f t="shared" si="25"/>
        <v>180</v>
      </c>
      <c r="I559" s="4">
        <v>0</v>
      </c>
      <c r="K559" s="28"/>
      <c r="L559" s="8"/>
      <c r="M559" s="9"/>
      <c r="N559" s="9"/>
      <c r="O559" s="9"/>
      <c r="P559" s="9"/>
      <c r="Q559" s="10"/>
    </row>
    <row r="560" spans="1:17" x14ac:dyDescent="0.3">
      <c r="A560" s="32">
        <f t="shared" si="28"/>
        <v>557</v>
      </c>
      <c r="B560" s="21" t="s">
        <v>605</v>
      </c>
      <c r="C560" s="2" t="s">
        <v>589</v>
      </c>
      <c r="D560" s="20" t="s">
        <v>321</v>
      </c>
      <c r="E560" s="18">
        <v>45341</v>
      </c>
      <c r="F560" s="3">
        <f t="shared" si="27"/>
        <v>45382</v>
      </c>
      <c r="G560" s="28">
        <v>25370</v>
      </c>
      <c r="H560" s="32">
        <f t="shared" ref="H560:H570" si="29">15*12</f>
        <v>180</v>
      </c>
      <c r="I560" s="4">
        <v>0</v>
      </c>
      <c r="K560" s="28"/>
      <c r="L560" s="8"/>
      <c r="M560" s="9"/>
      <c r="N560" s="9"/>
      <c r="O560" s="9"/>
      <c r="P560" s="9"/>
      <c r="Q560" s="10"/>
    </row>
    <row r="561" spans="1:17" x14ac:dyDescent="0.3">
      <c r="A561" s="32">
        <f t="shared" si="28"/>
        <v>556</v>
      </c>
      <c r="B561" s="21" t="s">
        <v>606</v>
      </c>
      <c r="C561" s="2" t="s">
        <v>589</v>
      </c>
      <c r="D561" s="20" t="s">
        <v>321</v>
      </c>
      <c r="E561" s="18">
        <v>45349</v>
      </c>
      <c r="F561" s="3">
        <f t="shared" si="27"/>
        <v>45382</v>
      </c>
      <c r="G561" s="28">
        <v>184800</v>
      </c>
      <c r="H561" s="32">
        <f t="shared" si="29"/>
        <v>180</v>
      </c>
      <c r="I561" s="4">
        <v>0</v>
      </c>
      <c r="K561" s="28"/>
      <c r="L561" s="8"/>
      <c r="M561" s="9"/>
      <c r="N561" s="9"/>
      <c r="O561" s="9"/>
      <c r="P561" s="9"/>
      <c r="Q561" s="10"/>
    </row>
    <row r="562" spans="1:17" x14ac:dyDescent="0.3">
      <c r="A562" s="32">
        <f>A561+1</f>
        <v>557</v>
      </c>
      <c r="B562" s="21" t="s">
        <v>607</v>
      </c>
      <c r="C562" s="2" t="s">
        <v>589</v>
      </c>
      <c r="D562" s="20" t="s">
        <v>37</v>
      </c>
      <c r="E562" s="18">
        <v>45288</v>
      </c>
      <c r="F562" s="3">
        <f t="shared" si="27"/>
        <v>45382</v>
      </c>
      <c r="G562" s="28">
        <v>48500</v>
      </c>
      <c r="H562" s="32">
        <f t="shared" si="29"/>
        <v>180</v>
      </c>
      <c r="I562" s="4">
        <v>0</v>
      </c>
      <c r="K562" s="28"/>
      <c r="L562" s="8"/>
      <c r="M562" s="9"/>
      <c r="N562" s="9"/>
      <c r="O562" s="9"/>
      <c r="P562" s="9"/>
      <c r="Q562" s="10"/>
    </row>
    <row r="563" spans="1:17" x14ac:dyDescent="0.3">
      <c r="A563" s="32">
        <f t="shared" ref="A563:A565" si="30">A562+1</f>
        <v>558</v>
      </c>
      <c r="B563" s="21" t="s">
        <v>608</v>
      </c>
      <c r="C563" s="2" t="s">
        <v>589</v>
      </c>
      <c r="D563" s="20" t="s">
        <v>499</v>
      </c>
      <c r="E563" s="18">
        <v>45323</v>
      </c>
      <c r="F563" s="3">
        <f t="shared" si="27"/>
        <v>45382</v>
      </c>
      <c r="G563" s="28">
        <v>44944</v>
      </c>
      <c r="H563" s="32">
        <f t="shared" si="29"/>
        <v>180</v>
      </c>
      <c r="I563" s="4">
        <v>0</v>
      </c>
      <c r="K563" s="28"/>
      <c r="L563" s="8"/>
      <c r="M563" s="9"/>
      <c r="N563" s="9"/>
      <c r="O563" s="9"/>
      <c r="P563" s="9"/>
      <c r="Q563" s="10"/>
    </row>
    <row r="564" spans="1:17" x14ac:dyDescent="0.3">
      <c r="A564" s="32">
        <f t="shared" si="30"/>
        <v>559</v>
      </c>
      <c r="B564" s="21" t="s">
        <v>609</v>
      </c>
      <c r="C564" s="2" t="s">
        <v>589</v>
      </c>
      <c r="D564" s="20" t="s">
        <v>499</v>
      </c>
      <c r="E564" s="18">
        <v>45345</v>
      </c>
      <c r="F564" s="3">
        <f t="shared" si="27"/>
        <v>45382</v>
      </c>
      <c r="G564" s="28">
        <v>2011</v>
      </c>
      <c r="H564" s="32">
        <f t="shared" si="29"/>
        <v>180</v>
      </c>
      <c r="I564" s="4">
        <v>0</v>
      </c>
      <c r="K564" s="28"/>
      <c r="L564" s="8"/>
      <c r="M564" s="9"/>
      <c r="N564" s="9"/>
      <c r="O564" s="9"/>
      <c r="P564" s="9"/>
      <c r="Q564" s="10"/>
    </row>
    <row r="565" spans="1:17" x14ac:dyDescent="0.3">
      <c r="A565" s="32">
        <f t="shared" si="30"/>
        <v>560</v>
      </c>
      <c r="B565" s="21" t="s">
        <v>610</v>
      </c>
      <c r="C565" s="2" t="s">
        <v>589</v>
      </c>
      <c r="D565" s="20" t="s">
        <v>499</v>
      </c>
      <c r="E565" s="18">
        <v>45133</v>
      </c>
      <c r="F565" s="3">
        <f t="shared" si="27"/>
        <v>45382</v>
      </c>
      <c r="G565" s="28">
        <v>2011</v>
      </c>
      <c r="H565" s="32">
        <f t="shared" si="29"/>
        <v>180</v>
      </c>
      <c r="I565" s="4">
        <v>0</v>
      </c>
      <c r="K565" s="28"/>
      <c r="L565" s="8"/>
      <c r="M565" s="9"/>
      <c r="N565" s="9"/>
      <c r="O565" s="9"/>
      <c r="P565" s="9"/>
      <c r="Q565" s="10"/>
    </row>
    <row r="566" spans="1:17" x14ac:dyDescent="0.3">
      <c r="A566" s="32">
        <f>A565+1</f>
        <v>561</v>
      </c>
      <c r="B566" s="21" t="s">
        <v>609</v>
      </c>
      <c r="C566" s="2" t="s">
        <v>589</v>
      </c>
      <c r="D566" s="20" t="s">
        <v>499</v>
      </c>
      <c r="E566" s="18">
        <v>45364</v>
      </c>
      <c r="F566" s="3">
        <f t="shared" si="27"/>
        <v>45382</v>
      </c>
      <c r="G566" s="28">
        <v>7650</v>
      </c>
      <c r="H566" s="32">
        <f t="shared" si="29"/>
        <v>180</v>
      </c>
      <c r="I566" s="4">
        <v>0</v>
      </c>
      <c r="K566" s="28"/>
      <c r="L566" s="8"/>
      <c r="M566" s="9"/>
      <c r="N566" s="9"/>
      <c r="O566" s="9"/>
      <c r="P566" s="9"/>
      <c r="Q566" s="10"/>
    </row>
    <row r="567" spans="1:17" x14ac:dyDescent="0.3">
      <c r="A567" s="32">
        <f>A566+1</f>
        <v>562</v>
      </c>
      <c r="B567" s="21" t="s">
        <v>610</v>
      </c>
      <c r="C567" s="2" t="s">
        <v>589</v>
      </c>
      <c r="D567" s="20" t="s">
        <v>499</v>
      </c>
      <c r="E567" s="18">
        <v>45289</v>
      </c>
      <c r="F567" s="3">
        <f t="shared" si="27"/>
        <v>45382</v>
      </c>
      <c r="G567" s="28">
        <v>1239</v>
      </c>
      <c r="H567" s="32">
        <f t="shared" si="29"/>
        <v>180</v>
      </c>
      <c r="I567" s="4">
        <v>0</v>
      </c>
      <c r="K567" s="28"/>
      <c r="L567" s="8"/>
      <c r="M567" s="9"/>
      <c r="N567" s="9"/>
      <c r="O567" s="9"/>
      <c r="P567" s="9"/>
      <c r="Q567" s="10"/>
    </row>
    <row r="568" spans="1:17" x14ac:dyDescent="0.3">
      <c r="A568" s="32">
        <f>A567+1</f>
        <v>563</v>
      </c>
      <c r="B568" s="21" t="s">
        <v>611</v>
      </c>
      <c r="C568" s="2" t="s">
        <v>589</v>
      </c>
      <c r="D568" s="20" t="s">
        <v>499</v>
      </c>
      <c r="E568" s="18">
        <v>45075</v>
      </c>
      <c r="F568" s="3">
        <f t="shared" si="27"/>
        <v>45382</v>
      </c>
      <c r="G568" s="28">
        <v>7749</v>
      </c>
      <c r="H568" s="32">
        <f t="shared" si="29"/>
        <v>180</v>
      </c>
      <c r="I568" s="4">
        <v>0</v>
      </c>
      <c r="K568" s="28"/>
      <c r="L568" s="8"/>
      <c r="M568" s="9"/>
      <c r="N568" s="9"/>
      <c r="O568" s="9"/>
      <c r="P568" s="9"/>
      <c r="Q568" s="10"/>
    </row>
    <row r="569" spans="1:17" x14ac:dyDescent="0.3">
      <c r="A569" s="32">
        <f t="shared" si="26"/>
        <v>564</v>
      </c>
      <c r="B569" s="21" t="s">
        <v>612</v>
      </c>
      <c r="C569" s="2" t="s">
        <v>589</v>
      </c>
      <c r="D569" s="20" t="s">
        <v>499</v>
      </c>
      <c r="E569" s="18">
        <v>45106</v>
      </c>
      <c r="F569" s="3">
        <f t="shared" si="27"/>
        <v>45382</v>
      </c>
      <c r="G569" s="28">
        <v>7299</v>
      </c>
      <c r="H569" s="32">
        <f t="shared" si="29"/>
        <v>180</v>
      </c>
      <c r="I569" s="4">
        <v>0</v>
      </c>
      <c r="K569" s="28"/>
      <c r="L569" s="8"/>
      <c r="M569" s="9"/>
      <c r="N569" s="9"/>
      <c r="O569" s="9"/>
      <c r="P569" s="9"/>
      <c r="Q569" s="10"/>
    </row>
    <row r="570" spans="1:17" x14ac:dyDescent="0.3">
      <c r="A570" s="32">
        <f t="shared" si="26"/>
        <v>565</v>
      </c>
      <c r="B570" s="21" t="s">
        <v>611</v>
      </c>
      <c r="C570" s="2" t="s">
        <v>589</v>
      </c>
      <c r="D570" s="20" t="s">
        <v>499</v>
      </c>
      <c r="E570" s="18">
        <v>45190</v>
      </c>
      <c r="F570" s="3">
        <f t="shared" si="27"/>
        <v>45382</v>
      </c>
      <c r="G570" s="28">
        <v>8501</v>
      </c>
      <c r="H570" s="32">
        <f t="shared" si="29"/>
        <v>180</v>
      </c>
      <c r="I570" s="4">
        <v>0</v>
      </c>
      <c r="K570" s="28"/>
      <c r="L570" s="8"/>
      <c r="M570" s="9"/>
      <c r="N570" s="9"/>
      <c r="O570" s="9"/>
      <c r="P570" s="9"/>
      <c r="Q570" s="10"/>
    </row>
    <row r="571" spans="1:17" x14ac:dyDescent="0.3">
      <c r="A571" s="32">
        <f t="shared" si="26"/>
        <v>566</v>
      </c>
      <c r="B571" s="21" t="s">
        <v>613</v>
      </c>
      <c r="C571" s="2" t="s">
        <v>589</v>
      </c>
      <c r="D571" s="20" t="s">
        <v>281</v>
      </c>
      <c r="E571" s="18">
        <v>45366</v>
      </c>
      <c r="F571" s="3">
        <f t="shared" si="27"/>
        <v>45382</v>
      </c>
      <c r="G571" s="28">
        <v>14554</v>
      </c>
      <c r="H571" s="32">
        <f>15*12</f>
        <v>180</v>
      </c>
      <c r="I571" s="4">
        <v>0</v>
      </c>
      <c r="K571" s="28"/>
      <c r="L571" s="8"/>
      <c r="M571" s="9"/>
      <c r="N571" s="9"/>
      <c r="O571" s="9"/>
      <c r="P571" s="9"/>
      <c r="Q571" s="10"/>
    </row>
    <row r="572" spans="1:17" ht="14.4" x14ac:dyDescent="0.3">
      <c r="A572" s="1">
        <f t="shared" si="26"/>
        <v>567</v>
      </c>
      <c r="B572" s="33" t="s">
        <v>614</v>
      </c>
      <c r="C572" s="32" t="s">
        <v>589</v>
      </c>
      <c r="D572" s="41" t="s">
        <v>615</v>
      </c>
      <c r="E572" s="27">
        <v>45120</v>
      </c>
      <c r="F572" s="3">
        <f t="shared" si="27"/>
        <v>45382</v>
      </c>
      <c r="G572" s="28">
        <v>3790</v>
      </c>
      <c r="H572" s="32">
        <f t="shared" ref="H572:H635" si="31">15*12</f>
        <v>180</v>
      </c>
      <c r="I572" s="4">
        <v>0</v>
      </c>
      <c r="K572" s="28"/>
      <c r="L572" s="8"/>
      <c r="M572" s="9"/>
      <c r="N572" s="9"/>
      <c r="O572" s="9"/>
      <c r="P572" s="9"/>
      <c r="Q572" s="10"/>
    </row>
    <row r="573" spans="1:17" x14ac:dyDescent="0.3">
      <c r="A573" s="1">
        <f t="shared" si="26"/>
        <v>568</v>
      </c>
      <c r="B573" s="33" t="s">
        <v>616</v>
      </c>
      <c r="C573" s="32" t="s">
        <v>589</v>
      </c>
      <c r="D573" s="2" t="s">
        <v>617</v>
      </c>
      <c r="E573" s="27">
        <v>45120</v>
      </c>
      <c r="F573" s="3">
        <f t="shared" si="27"/>
        <v>45382</v>
      </c>
      <c r="G573" s="28">
        <v>20900</v>
      </c>
      <c r="H573" s="32">
        <f t="shared" si="31"/>
        <v>180</v>
      </c>
      <c r="I573" s="4">
        <v>0</v>
      </c>
      <c r="K573" s="28"/>
      <c r="L573" s="8"/>
      <c r="M573" s="9"/>
      <c r="N573" s="9"/>
      <c r="O573" s="9"/>
      <c r="P573" s="9"/>
      <c r="Q573" s="10"/>
    </row>
    <row r="574" spans="1:17" x14ac:dyDescent="0.3">
      <c r="A574" s="1">
        <f t="shared" si="26"/>
        <v>569</v>
      </c>
      <c r="B574" s="33" t="s">
        <v>618</v>
      </c>
      <c r="C574" s="32" t="s">
        <v>589</v>
      </c>
      <c r="D574" s="2" t="s">
        <v>281</v>
      </c>
      <c r="E574" s="27">
        <v>45177</v>
      </c>
      <c r="F574" s="3">
        <f t="shared" si="27"/>
        <v>45382</v>
      </c>
      <c r="G574" s="28">
        <v>7650</v>
      </c>
      <c r="H574" s="32">
        <f t="shared" si="31"/>
        <v>180</v>
      </c>
      <c r="I574" s="4">
        <v>0</v>
      </c>
      <c r="K574" s="28"/>
      <c r="L574" s="8"/>
      <c r="M574" s="9"/>
      <c r="N574" s="9"/>
      <c r="O574" s="9"/>
      <c r="P574" s="9"/>
      <c r="Q574" s="10"/>
    </row>
    <row r="575" spans="1:17" ht="14.4" x14ac:dyDescent="0.3">
      <c r="A575" s="1">
        <f t="shared" si="26"/>
        <v>570</v>
      </c>
      <c r="B575" s="42" t="s">
        <v>619</v>
      </c>
      <c r="C575" s="43" t="s">
        <v>589</v>
      </c>
      <c r="D575" s="43" t="s">
        <v>449</v>
      </c>
      <c r="E575" s="44">
        <v>45162</v>
      </c>
      <c r="F575" s="3">
        <f t="shared" si="27"/>
        <v>45382</v>
      </c>
      <c r="G575" s="28">
        <v>30450</v>
      </c>
      <c r="H575" s="32">
        <f t="shared" si="31"/>
        <v>180</v>
      </c>
      <c r="I575" s="4">
        <v>0</v>
      </c>
      <c r="K575" s="28"/>
      <c r="L575" s="8"/>
      <c r="M575" s="9"/>
      <c r="N575" s="9"/>
      <c r="O575" s="9"/>
      <c r="P575" s="9"/>
      <c r="Q575" s="10"/>
    </row>
    <row r="576" spans="1:17" ht="14.4" x14ac:dyDescent="0.3">
      <c r="A576" s="1">
        <f t="shared" si="26"/>
        <v>571</v>
      </c>
      <c r="B576" s="45" t="s">
        <v>620</v>
      </c>
      <c r="C576" s="45" t="s">
        <v>589</v>
      </c>
      <c r="D576" s="46" t="s">
        <v>621</v>
      </c>
      <c r="E576" s="47">
        <v>45069</v>
      </c>
      <c r="F576" s="3">
        <f t="shared" si="27"/>
        <v>45382</v>
      </c>
      <c r="G576" s="28">
        <v>898437</v>
      </c>
      <c r="H576" s="32">
        <f t="shared" si="31"/>
        <v>180</v>
      </c>
      <c r="I576" s="4">
        <v>0</v>
      </c>
      <c r="K576" s="28"/>
      <c r="L576" s="8"/>
      <c r="M576" s="9"/>
      <c r="N576" s="9"/>
      <c r="O576" s="9"/>
      <c r="P576" s="9"/>
      <c r="Q576" s="10"/>
    </row>
    <row r="577" spans="1:17" ht="14.4" x14ac:dyDescent="0.3">
      <c r="A577" s="1">
        <f t="shared" si="26"/>
        <v>572</v>
      </c>
      <c r="B577" s="45" t="s">
        <v>622</v>
      </c>
      <c r="C577" s="45" t="s">
        <v>589</v>
      </c>
      <c r="D577" s="46" t="s">
        <v>621</v>
      </c>
      <c r="E577" s="47">
        <v>45167</v>
      </c>
      <c r="F577" s="3">
        <f t="shared" si="27"/>
        <v>45382</v>
      </c>
      <c r="G577" s="28">
        <v>1499999</v>
      </c>
      <c r="H577" s="32">
        <f t="shared" si="31"/>
        <v>180</v>
      </c>
      <c r="I577" s="4">
        <v>0</v>
      </c>
      <c r="K577" s="28"/>
      <c r="L577" s="8"/>
      <c r="M577" s="9"/>
      <c r="N577" s="9"/>
      <c r="O577" s="9"/>
      <c r="P577" s="9"/>
      <c r="Q577" s="10"/>
    </row>
    <row r="578" spans="1:17" ht="14.4" x14ac:dyDescent="0.3">
      <c r="A578" s="1">
        <f t="shared" si="26"/>
        <v>573</v>
      </c>
      <c r="B578" s="45" t="s">
        <v>623</v>
      </c>
      <c r="C578" s="45" t="s">
        <v>589</v>
      </c>
      <c r="D578" s="46" t="s">
        <v>621</v>
      </c>
      <c r="E578" s="47">
        <v>45191</v>
      </c>
      <c r="F578" s="3">
        <f t="shared" si="27"/>
        <v>45382</v>
      </c>
      <c r="G578" s="28">
        <v>281600</v>
      </c>
      <c r="H578" s="32">
        <f t="shared" si="31"/>
        <v>180</v>
      </c>
      <c r="I578" s="4">
        <v>0</v>
      </c>
      <c r="K578" s="28"/>
      <c r="L578" s="8"/>
      <c r="M578" s="9"/>
      <c r="N578" s="9"/>
      <c r="O578" s="9"/>
      <c r="P578" s="9"/>
      <c r="Q578" s="10"/>
    </row>
    <row r="579" spans="1:17" ht="14.4" x14ac:dyDescent="0.3">
      <c r="A579" s="1">
        <f t="shared" ref="A579:A599" si="32">A578+1</f>
        <v>574</v>
      </c>
      <c r="B579" s="45" t="s">
        <v>624</v>
      </c>
      <c r="C579" s="45" t="s">
        <v>589</v>
      </c>
      <c r="D579" s="46" t="s">
        <v>621</v>
      </c>
      <c r="E579" s="47">
        <v>45224</v>
      </c>
      <c r="F579" s="3">
        <f t="shared" si="27"/>
        <v>45382</v>
      </c>
      <c r="G579" s="28">
        <v>49442</v>
      </c>
      <c r="H579" s="32">
        <f t="shared" si="31"/>
        <v>180</v>
      </c>
      <c r="I579" s="4">
        <v>0</v>
      </c>
      <c r="K579" s="28"/>
      <c r="L579" s="8"/>
      <c r="M579" s="9"/>
      <c r="N579" s="9"/>
      <c r="O579" s="9"/>
      <c r="P579" s="9"/>
      <c r="Q579" s="10"/>
    </row>
    <row r="580" spans="1:17" ht="14.4" x14ac:dyDescent="0.3">
      <c r="A580" s="1">
        <f t="shared" si="32"/>
        <v>575</v>
      </c>
      <c r="B580" s="45" t="s">
        <v>625</v>
      </c>
      <c r="C580" s="45" t="s">
        <v>589</v>
      </c>
      <c r="D580" s="46" t="s">
        <v>621</v>
      </c>
      <c r="E580" s="47">
        <v>45225</v>
      </c>
      <c r="F580" s="3">
        <f t="shared" ref="F580:F643" si="33">F579</f>
        <v>45382</v>
      </c>
      <c r="G580" s="28">
        <v>66080</v>
      </c>
      <c r="H580" s="32">
        <f t="shared" si="31"/>
        <v>180</v>
      </c>
      <c r="I580" s="4">
        <v>0</v>
      </c>
      <c r="K580" s="28"/>
      <c r="L580" s="8"/>
      <c r="M580" s="9"/>
      <c r="N580" s="9"/>
      <c r="O580" s="9"/>
      <c r="P580" s="9"/>
      <c r="Q580" s="10"/>
    </row>
    <row r="581" spans="1:17" ht="14.4" x14ac:dyDescent="0.3">
      <c r="A581" s="1">
        <f t="shared" si="32"/>
        <v>576</v>
      </c>
      <c r="B581" s="45" t="s">
        <v>626</v>
      </c>
      <c r="C581" s="45" t="s">
        <v>589</v>
      </c>
      <c r="D581" s="46" t="s">
        <v>621</v>
      </c>
      <c r="E581" s="47">
        <v>45276</v>
      </c>
      <c r="F581" s="3">
        <f t="shared" si="33"/>
        <v>45382</v>
      </c>
      <c r="G581" s="28">
        <v>2072</v>
      </c>
      <c r="H581" s="32">
        <f t="shared" si="31"/>
        <v>180</v>
      </c>
      <c r="I581" s="4">
        <v>0</v>
      </c>
      <c r="K581" s="28"/>
      <c r="L581" s="8"/>
      <c r="M581" s="9"/>
      <c r="N581" s="9"/>
      <c r="O581" s="9"/>
      <c r="P581" s="9"/>
      <c r="Q581" s="10"/>
    </row>
    <row r="582" spans="1:17" ht="14.4" x14ac:dyDescent="0.3">
      <c r="A582" s="1">
        <f t="shared" si="32"/>
        <v>577</v>
      </c>
      <c r="B582" s="45" t="s">
        <v>627</v>
      </c>
      <c r="C582" s="45" t="s">
        <v>589</v>
      </c>
      <c r="D582" s="46" t="s">
        <v>621</v>
      </c>
      <c r="E582" s="47">
        <v>45310</v>
      </c>
      <c r="F582" s="3">
        <f t="shared" si="33"/>
        <v>45382</v>
      </c>
      <c r="G582" s="28">
        <v>601800</v>
      </c>
      <c r="H582" s="32">
        <f t="shared" si="31"/>
        <v>180</v>
      </c>
      <c r="I582" s="4">
        <v>0</v>
      </c>
      <c r="K582" s="28"/>
      <c r="L582" s="8"/>
      <c r="M582" s="9"/>
      <c r="N582" s="9"/>
      <c r="O582" s="9"/>
      <c r="P582" s="9"/>
      <c r="Q582" s="10"/>
    </row>
    <row r="583" spans="1:17" ht="14.4" x14ac:dyDescent="0.3">
      <c r="A583" s="1">
        <f t="shared" si="32"/>
        <v>578</v>
      </c>
      <c r="B583" s="45" t="s">
        <v>628</v>
      </c>
      <c r="C583" s="45" t="s">
        <v>589</v>
      </c>
      <c r="D583" s="46" t="s">
        <v>621</v>
      </c>
      <c r="E583" s="47">
        <v>45369</v>
      </c>
      <c r="F583" s="3">
        <f t="shared" si="33"/>
        <v>45382</v>
      </c>
      <c r="G583" s="28">
        <v>4933</v>
      </c>
      <c r="H583" s="32">
        <f t="shared" si="31"/>
        <v>180</v>
      </c>
      <c r="I583" s="4">
        <v>0</v>
      </c>
      <c r="K583" s="28"/>
      <c r="L583" s="8"/>
      <c r="M583" s="9"/>
      <c r="N583" s="9"/>
      <c r="O583" s="9"/>
      <c r="P583" s="9"/>
      <c r="Q583" s="10"/>
    </row>
    <row r="584" spans="1:17" ht="14.4" x14ac:dyDescent="0.3">
      <c r="A584" s="1">
        <f t="shared" si="32"/>
        <v>579</v>
      </c>
      <c r="B584" s="45" t="s">
        <v>629</v>
      </c>
      <c r="C584" s="45" t="s">
        <v>589</v>
      </c>
      <c r="D584" s="46" t="s">
        <v>621</v>
      </c>
      <c r="E584" s="47">
        <v>45370</v>
      </c>
      <c r="F584" s="3">
        <f t="shared" si="33"/>
        <v>45382</v>
      </c>
      <c r="G584" s="28">
        <v>43120</v>
      </c>
      <c r="H584" s="32">
        <f t="shared" si="31"/>
        <v>180</v>
      </c>
      <c r="I584" s="4">
        <v>0</v>
      </c>
      <c r="K584" s="28"/>
      <c r="L584" s="8"/>
      <c r="M584" s="9"/>
      <c r="N584" s="9"/>
      <c r="O584" s="9"/>
      <c r="P584" s="9"/>
      <c r="Q584" s="10"/>
    </row>
    <row r="585" spans="1:17" ht="14.4" x14ac:dyDescent="0.3">
      <c r="A585" s="1">
        <f t="shared" si="32"/>
        <v>580</v>
      </c>
      <c r="B585" s="45" t="s">
        <v>630</v>
      </c>
      <c r="C585" s="45" t="s">
        <v>589</v>
      </c>
      <c r="D585" s="46" t="s">
        <v>621</v>
      </c>
      <c r="E585" s="47">
        <v>45382</v>
      </c>
      <c r="F585" s="3">
        <f t="shared" si="33"/>
        <v>45382</v>
      </c>
      <c r="G585" s="28">
        <v>2808000</v>
      </c>
      <c r="H585" s="32">
        <f t="shared" si="31"/>
        <v>180</v>
      </c>
      <c r="I585" s="4">
        <v>0</v>
      </c>
      <c r="K585" s="28"/>
      <c r="L585" s="8"/>
      <c r="M585" s="9"/>
      <c r="N585" s="9"/>
      <c r="O585" s="9"/>
      <c r="P585" s="9"/>
      <c r="Q585" s="10"/>
    </row>
    <row r="586" spans="1:17" ht="14.4" x14ac:dyDescent="0.3">
      <c r="A586" s="1">
        <f t="shared" si="32"/>
        <v>581</v>
      </c>
      <c r="B586" s="45" t="s">
        <v>631</v>
      </c>
      <c r="C586" s="45" t="s">
        <v>589</v>
      </c>
      <c r="D586" s="46" t="s">
        <v>621</v>
      </c>
      <c r="E586" s="47">
        <v>45313</v>
      </c>
      <c r="F586" s="3">
        <f t="shared" si="33"/>
        <v>45382</v>
      </c>
      <c r="G586" s="28">
        <v>414400</v>
      </c>
      <c r="H586" s="32">
        <f t="shared" si="31"/>
        <v>180</v>
      </c>
      <c r="I586" s="4">
        <v>0</v>
      </c>
      <c r="K586" s="28"/>
      <c r="L586" s="8"/>
      <c r="M586" s="9"/>
      <c r="N586" s="9"/>
      <c r="O586" s="9"/>
      <c r="P586" s="9"/>
      <c r="Q586" s="10"/>
    </row>
    <row r="587" spans="1:17" ht="14.4" x14ac:dyDescent="0.3">
      <c r="A587" s="1">
        <f t="shared" si="32"/>
        <v>582</v>
      </c>
      <c r="B587" s="45" t="s">
        <v>632</v>
      </c>
      <c r="C587" s="45" t="s">
        <v>589</v>
      </c>
      <c r="D587" s="46" t="s">
        <v>621</v>
      </c>
      <c r="E587" s="47">
        <v>45142</v>
      </c>
      <c r="F587" s="3">
        <f t="shared" si="33"/>
        <v>45382</v>
      </c>
      <c r="G587" s="28">
        <v>31950</v>
      </c>
      <c r="H587" s="32">
        <f t="shared" si="31"/>
        <v>180</v>
      </c>
      <c r="I587" s="4">
        <v>0</v>
      </c>
      <c r="K587" s="28"/>
      <c r="L587" s="8"/>
      <c r="M587" s="9"/>
      <c r="N587" s="9"/>
      <c r="O587" s="9"/>
      <c r="P587" s="9"/>
      <c r="Q587" s="10"/>
    </row>
    <row r="588" spans="1:17" ht="14.4" x14ac:dyDescent="0.3">
      <c r="A588" s="1">
        <f t="shared" si="32"/>
        <v>583</v>
      </c>
      <c r="B588" s="45" t="s">
        <v>633</v>
      </c>
      <c r="C588" s="45" t="s">
        <v>589</v>
      </c>
      <c r="D588" s="46" t="s">
        <v>621</v>
      </c>
      <c r="E588" s="47">
        <v>45189</v>
      </c>
      <c r="F588" s="3">
        <f t="shared" si="33"/>
        <v>45382</v>
      </c>
      <c r="G588" s="28">
        <v>116308</v>
      </c>
      <c r="H588" s="32">
        <f t="shared" si="31"/>
        <v>180</v>
      </c>
      <c r="I588" s="4">
        <v>0</v>
      </c>
      <c r="K588" s="28"/>
      <c r="L588" s="8"/>
      <c r="M588" s="9"/>
      <c r="N588" s="9"/>
      <c r="O588" s="9"/>
      <c r="P588" s="9"/>
      <c r="Q588" s="10"/>
    </row>
    <row r="589" spans="1:17" ht="14.4" x14ac:dyDescent="0.3">
      <c r="A589" s="1">
        <f t="shared" si="32"/>
        <v>584</v>
      </c>
      <c r="B589" s="45" t="s">
        <v>634</v>
      </c>
      <c r="C589" s="45" t="s">
        <v>589</v>
      </c>
      <c r="D589" s="46" t="s">
        <v>621</v>
      </c>
      <c r="E589" s="47">
        <v>45191</v>
      </c>
      <c r="F589" s="3">
        <f t="shared" si="33"/>
        <v>45382</v>
      </c>
      <c r="G589" s="28">
        <v>24367</v>
      </c>
      <c r="H589" s="32">
        <f t="shared" si="31"/>
        <v>180</v>
      </c>
      <c r="I589" s="4">
        <v>0</v>
      </c>
      <c r="K589" s="28"/>
      <c r="L589" s="8"/>
      <c r="M589" s="9"/>
      <c r="N589" s="9"/>
      <c r="O589" s="9"/>
      <c r="P589" s="9"/>
      <c r="Q589" s="10"/>
    </row>
    <row r="590" spans="1:17" ht="14.4" x14ac:dyDescent="0.3">
      <c r="A590" s="1">
        <f t="shared" si="32"/>
        <v>585</v>
      </c>
      <c r="B590" s="45" t="s">
        <v>635</v>
      </c>
      <c r="C590" s="45" t="s">
        <v>589</v>
      </c>
      <c r="D590" s="46" t="s">
        <v>621</v>
      </c>
      <c r="E590" s="47">
        <v>45382</v>
      </c>
      <c r="F590" s="3">
        <f t="shared" si="33"/>
        <v>45382</v>
      </c>
      <c r="G590" s="28">
        <v>40286</v>
      </c>
      <c r="H590" s="32">
        <f t="shared" si="31"/>
        <v>180</v>
      </c>
      <c r="I590" s="4">
        <v>0</v>
      </c>
      <c r="K590" s="28"/>
      <c r="L590" s="8"/>
      <c r="M590" s="9"/>
      <c r="N590" s="9"/>
      <c r="O590" s="9"/>
      <c r="P590" s="9"/>
      <c r="Q590" s="10"/>
    </row>
    <row r="591" spans="1:17" ht="14.4" x14ac:dyDescent="0.3">
      <c r="A591" s="1">
        <f t="shared" si="32"/>
        <v>586</v>
      </c>
      <c r="B591" s="45" t="s">
        <v>636</v>
      </c>
      <c r="C591" s="45" t="s">
        <v>589</v>
      </c>
      <c r="D591" s="46" t="s">
        <v>621</v>
      </c>
      <c r="E591" s="47">
        <v>45323</v>
      </c>
      <c r="F591" s="3">
        <f t="shared" si="33"/>
        <v>45382</v>
      </c>
      <c r="G591" s="28">
        <v>1855000</v>
      </c>
      <c r="H591" s="32">
        <f t="shared" si="31"/>
        <v>180</v>
      </c>
      <c r="I591" s="4">
        <v>0</v>
      </c>
      <c r="K591" s="28"/>
      <c r="L591" s="8"/>
      <c r="M591" s="9"/>
      <c r="N591" s="9"/>
      <c r="O591" s="9"/>
      <c r="P591" s="9"/>
      <c r="Q591" s="10"/>
    </row>
    <row r="592" spans="1:17" ht="14.4" x14ac:dyDescent="0.3">
      <c r="A592" s="1">
        <f t="shared" si="32"/>
        <v>587</v>
      </c>
      <c r="B592" s="45" t="s">
        <v>637</v>
      </c>
      <c r="C592" s="45" t="s">
        <v>638</v>
      </c>
      <c r="D592" s="46" t="s">
        <v>114</v>
      </c>
      <c r="E592" s="47">
        <v>45573</v>
      </c>
      <c r="F592" s="3">
        <f t="shared" si="33"/>
        <v>45382</v>
      </c>
      <c r="G592" s="28">
        <v>4895</v>
      </c>
      <c r="H592" s="32">
        <f t="shared" si="31"/>
        <v>180</v>
      </c>
      <c r="I592" s="4">
        <v>0</v>
      </c>
      <c r="K592" s="28"/>
      <c r="L592" s="8"/>
      <c r="M592" s="9"/>
      <c r="N592" s="9"/>
      <c r="O592" s="9"/>
      <c r="P592" s="9"/>
      <c r="Q592" s="10"/>
    </row>
    <row r="593" spans="1:17" ht="14.4" x14ac:dyDescent="0.3">
      <c r="A593" s="1">
        <f t="shared" si="32"/>
        <v>588</v>
      </c>
      <c r="B593" s="45" t="s">
        <v>639</v>
      </c>
      <c r="C593" s="45" t="s">
        <v>638</v>
      </c>
      <c r="D593" s="46" t="s">
        <v>640</v>
      </c>
      <c r="E593" s="47">
        <v>45421</v>
      </c>
      <c r="F593" s="3">
        <f t="shared" si="33"/>
        <v>45382</v>
      </c>
      <c r="G593" s="28">
        <v>40498</v>
      </c>
      <c r="H593" s="32">
        <f t="shared" si="31"/>
        <v>180</v>
      </c>
      <c r="I593" s="4">
        <v>0</v>
      </c>
      <c r="K593" s="28"/>
      <c r="L593" s="8"/>
      <c r="M593" s="9"/>
      <c r="N593" s="9"/>
      <c r="O593" s="9"/>
      <c r="P593" s="9"/>
      <c r="Q593" s="10"/>
    </row>
    <row r="594" spans="1:17" ht="14.4" x14ac:dyDescent="0.3">
      <c r="A594" s="1">
        <f t="shared" si="32"/>
        <v>589</v>
      </c>
      <c r="B594" s="45" t="s">
        <v>639</v>
      </c>
      <c r="C594" s="45" t="s">
        <v>638</v>
      </c>
      <c r="D594" s="46" t="s">
        <v>640</v>
      </c>
      <c r="E594" s="47">
        <v>45496</v>
      </c>
      <c r="F594" s="3">
        <f t="shared" si="33"/>
        <v>45382</v>
      </c>
      <c r="G594" s="28">
        <v>13500</v>
      </c>
      <c r="H594" s="32">
        <f t="shared" si="31"/>
        <v>180</v>
      </c>
      <c r="I594" s="4">
        <v>0</v>
      </c>
      <c r="K594" s="28"/>
      <c r="L594" s="8"/>
      <c r="M594" s="9"/>
      <c r="N594" s="9"/>
      <c r="O594" s="9"/>
      <c r="P594" s="9"/>
      <c r="Q594" s="10"/>
    </row>
    <row r="595" spans="1:17" ht="14.4" x14ac:dyDescent="0.3">
      <c r="A595" s="1">
        <f t="shared" si="32"/>
        <v>590</v>
      </c>
      <c r="B595" s="45" t="s">
        <v>641</v>
      </c>
      <c r="C595" s="45" t="s">
        <v>638</v>
      </c>
      <c r="D595" s="46" t="s">
        <v>642</v>
      </c>
      <c r="E595" s="47">
        <v>45569</v>
      </c>
      <c r="F595" s="3">
        <f t="shared" si="33"/>
        <v>45382</v>
      </c>
      <c r="G595" s="28">
        <v>2800</v>
      </c>
      <c r="H595" s="32">
        <f t="shared" si="31"/>
        <v>180</v>
      </c>
      <c r="I595" s="4">
        <v>0</v>
      </c>
      <c r="K595" s="28"/>
      <c r="L595" s="8"/>
      <c r="M595" s="9"/>
      <c r="N595" s="9"/>
      <c r="O595" s="9"/>
      <c r="P595" s="9"/>
      <c r="Q595" s="10"/>
    </row>
    <row r="596" spans="1:17" ht="14.4" x14ac:dyDescent="0.3">
      <c r="A596" s="1">
        <f t="shared" si="32"/>
        <v>591</v>
      </c>
      <c r="B596" s="45" t="s">
        <v>643</v>
      </c>
      <c r="C596" s="45" t="s">
        <v>638</v>
      </c>
      <c r="D596" s="46" t="s">
        <v>642</v>
      </c>
      <c r="E596" s="47">
        <v>45582</v>
      </c>
      <c r="F596" s="3">
        <f t="shared" si="33"/>
        <v>45382</v>
      </c>
      <c r="G596" s="28">
        <v>2816</v>
      </c>
      <c r="H596" s="32">
        <f t="shared" si="31"/>
        <v>180</v>
      </c>
      <c r="I596" s="4">
        <v>0</v>
      </c>
      <c r="K596" s="28"/>
      <c r="L596" s="8"/>
      <c r="M596" s="9"/>
      <c r="N596" s="9"/>
      <c r="O596" s="9"/>
      <c r="P596" s="9"/>
      <c r="Q596" s="10"/>
    </row>
    <row r="597" spans="1:17" ht="14.4" x14ac:dyDescent="0.3">
      <c r="A597" s="1">
        <f t="shared" si="32"/>
        <v>592</v>
      </c>
      <c r="B597" s="45" t="s">
        <v>644</v>
      </c>
      <c r="C597" s="45" t="s">
        <v>638</v>
      </c>
      <c r="D597" s="46" t="s">
        <v>642</v>
      </c>
      <c r="E597" s="47">
        <v>45625</v>
      </c>
      <c r="F597" s="3">
        <f t="shared" si="33"/>
        <v>45382</v>
      </c>
      <c r="G597" s="28">
        <v>29760</v>
      </c>
      <c r="H597" s="32">
        <f t="shared" si="31"/>
        <v>180</v>
      </c>
      <c r="I597" s="4">
        <v>0</v>
      </c>
      <c r="K597" s="28"/>
      <c r="L597" s="8"/>
      <c r="M597" s="9"/>
      <c r="N597" s="9"/>
      <c r="O597" s="9"/>
      <c r="P597" s="9"/>
      <c r="Q597" s="10"/>
    </row>
    <row r="598" spans="1:17" ht="14.4" x14ac:dyDescent="0.3">
      <c r="A598" s="1">
        <f t="shared" si="32"/>
        <v>593</v>
      </c>
      <c r="B598" s="45" t="s">
        <v>645</v>
      </c>
      <c r="C598" s="45" t="s">
        <v>638</v>
      </c>
      <c r="D598" s="46" t="s">
        <v>646</v>
      </c>
      <c r="E598" s="47">
        <v>45520</v>
      </c>
      <c r="F598" s="3">
        <f t="shared" si="33"/>
        <v>45382</v>
      </c>
      <c r="G598" s="28">
        <v>7800</v>
      </c>
      <c r="H598" s="32">
        <f t="shared" si="31"/>
        <v>180</v>
      </c>
      <c r="I598" s="4">
        <v>0</v>
      </c>
      <c r="K598" s="28"/>
      <c r="L598" s="8"/>
      <c r="M598" s="9"/>
      <c r="N598" s="9"/>
      <c r="O598" s="9"/>
      <c r="P598" s="9"/>
      <c r="Q598" s="10"/>
    </row>
    <row r="599" spans="1:17" ht="14.4" x14ac:dyDescent="0.3">
      <c r="A599" s="1">
        <f t="shared" si="32"/>
        <v>594</v>
      </c>
      <c r="B599" s="21" t="s">
        <v>647</v>
      </c>
      <c r="C599" s="45" t="s">
        <v>638</v>
      </c>
      <c r="D599" s="20" t="s">
        <v>648</v>
      </c>
      <c r="E599" s="47">
        <v>45420</v>
      </c>
      <c r="F599" s="3">
        <f t="shared" si="33"/>
        <v>45382</v>
      </c>
      <c r="G599" s="28">
        <v>57216</v>
      </c>
      <c r="H599" s="32">
        <f t="shared" si="31"/>
        <v>180</v>
      </c>
      <c r="I599" s="4">
        <v>0</v>
      </c>
      <c r="K599" s="28"/>
      <c r="L599" s="8"/>
      <c r="M599" s="9"/>
      <c r="N599" s="9"/>
      <c r="O599" s="9"/>
      <c r="P599" s="9"/>
      <c r="Q599" s="10"/>
    </row>
    <row r="600" spans="1:17" ht="14.4" x14ac:dyDescent="0.3">
      <c r="A600" s="32">
        <f t="shared" ref="A600:A609" si="34">A572+1</f>
        <v>568</v>
      </c>
      <c r="B600" s="21" t="s">
        <v>649</v>
      </c>
      <c r="C600" s="45" t="s">
        <v>638</v>
      </c>
      <c r="D600" s="20" t="s">
        <v>648</v>
      </c>
      <c r="E600" s="47">
        <v>45457</v>
      </c>
      <c r="F600" s="3">
        <f t="shared" si="33"/>
        <v>45382</v>
      </c>
      <c r="G600" s="28">
        <v>1950</v>
      </c>
      <c r="H600" s="32">
        <f t="shared" si="31"/>
        <v>180</v>
      </c>
      <c r="I600" s="4">
        <v>0</v>
      </c>
      <c r="K600" s="28"/>
      <c r="L600" s="8"/>
      <c r="M600" s="9"/>
      <c r="N600" s="9"/>
      <c r="O600" s="9"/>
      <c r="P600" s="9"/>
      <c r="Q600" s="10"/>
    </row>
    <row r="601" spans="1:17" ht="14.4" x14ac:dyDescent="0.3">
      <c r="A601" s="32">
        <f t="shared" si="34"/>
        <v>569</v>
      </c>
      <c r="B601" s="21" t="s">
        <v>650</v>
      </c>
      <c r="C601" s="45" t="s">
        <v>638</v>
      </c>
      <c r="D601" s="20" t="s">
        <v>648</v>
      </c>
      <c r="E601" s="47">
        <v>45500</v>
      </c>
      <c r="F601" s="3">
        <f t="shared" si="33"/>
        <v>45382</v>
      </c>
      <c r="G601" s="28">
        <v>10050</v>
      </c>
      <c r="H601" s="32">
        <f t="shared" si="31"/>
        <v>180</v>
      </c>
      <c r="I601" s="4">
        <v>0</v>
      </c>
      <c r="K601" s="28"/>
      <c r="L601" s="8"/>
      <c r="M601" s="9"/>
      <c r="N601" s="9"/>
      <c r="O601" s="9"/>
      <c r="P601" s="9"/>
      <c r="Q601" s="10"/>
    </row>
    <row r="602" spans="1:17" ht="14.4" x14ac:dyDescent="0.3">
      <c r="A602" s="32">
        <f t="shared" si="34"/>
        <v>570</v>
      </c>
      <c r="B602" s="21" t="s">
        <v>649</v>
      </c>
      <c r="C602" s="45" t="s">
        <v>638</v>
      </c>
      <c r="D602" s="20" t="s">
        <v>648</v>
      </c>
      <c r="E602" s="47">
        <v>45521</v>
      </c>
      <c r="F602" s="3">
        <f t="shared" si="33"/>
        <v>45382</v>
      </c>
      <c r="G602" s="28">
        <v>1950</v>
      </c>
      <c r="H602" s="32">
        <f t="shared" si="31"/>
        <v>180</v>
      </c>
      <c r="I602" s="4">
        <v>0</v>
      </c>
      <c r="K602" s="28"/>
      <c r="L602" s="8"/>
      <c r="M602" s="9"/>
      <c r="N602" s="9"/>
      <c r="O602" s="9"/>
      <c r="P602" s="9"/>
      <c r="Q602" s="10"/>
    </row>
    <row r="603" spans="1:17" ht="14.4" x14ac:dyDescent="0.3">
      <c r="A603" s="32">
        <f t="shared" si="34"/>
        <v>571</v>
      </c>
      <c r="B603" s="21" t="s">
        <v>651</v>
      </c>
      <c r="C603" s="45" t="s">
        <v>638</v>
      </c>
      <c r="D603" s="20" t="s">
        <v>648</v>
      </c>
      <c r="E603" s="47">
        <v>45523</v>
      </c>
      <c r="F603" s="3">
        <f t="shared" si="33"/>
        <v>45382</v>
      </c>
      <c r="G603" s="28">
        <v>1950</v>
      </c>
      <c r="H603" s="32">
        <f t="shared" si="31"/>
        <v>180</v>
      </c>
      <c r="I603" s="4">
        <v>0</v>
      </c>
      <c r="K603" s="28"/>
      <c r="L603" s="8"/>
      <c r="M603" s="9"/>
      <c r="N603" s="9"/>
      <c r="O603" s="9"/>
      <c r="P603" s="9"/>
      <c r="Q603" s="10"/>
    </row>
    <row r="604" spans="1:17" ht="14.4" x14ac:dyDescent="0.3">
      <c r="A604" s="32">
        <f t="shared" si="34"/>
        <v>572</v>
      </c>
      <c r="B604" s="21" t="s">
        <v>652</v>
      </c>
      <c r="C604" s="45" t="s">
        <v>638</v>
      </c>
      <c r="D604" s="20" t="s">
        <v>648</v>
      </c>
      <c r="E604" s="47">
        <v>45544</v>
      </c>
      <c r="F604" s="3">
        <f t="shared" si="33"/>
        <v>45382</v>
      </c>
      <c r="G604" s="28">
        <v>8602</v>
      </c>
      <c r="H604" s="32">
        <f t="shared" si="31"/>
        <v>180</v>
      </c>
      <c r="I604" s="4">
        <v>0</v>
      </c>
      <c r="K604" s="28"/>
      <c r="L604" s="8"/>
      <c r="M604" s="9"/>
      <c r="N604" s="9"/>
      <c r="O604" s="9"/>
      <c r="P604" s="9"/>
      <c r="Q604" s="10"/>
    </row>
    <row r="605" spans="1:17" ht="14.4" x14ac:dyDescent="0.3">
      <c r="A605" s="32">
        <f t="shared" si="34"/>
        <v>573</v>
      </c>
      <c r="B605" s="21" t="s">
        <v>653</v>
      </c>
      <c r="C605" s="45" t="s">
        <v>638</v>
      </c>
      <c r="D605" s="20" t="s">
        <v>648</v>
      </c>
      <c r="E605" s="47">
        <v>45560</v>
      </c>
      <c r="F605" s="3">
        <f t="shared" si="33"/>
        <v>45382</v>
      </c>
      <c r="G605" s="28">
        <v>1750</v>
      </c>
      <c r="H605" s="32">
        <f t="shared" si="31"/>
        <v>180</v>
      </c>
      <c r="I605" s="4">
        <v>0</v>
      </c>
      <c r="K605" s="28"/>
      <c r="L605" s="8"/>
      <c r="M605" s="9"/>
      <c r="N605" s="9"/>
      <c r="O605" s="9"/>
      <c r="P605" s="9"/>
      <c r="Q605" s="10"/>
    </row>
    <row r="606" spans="1:17" ht="14.4" x14ac:dyDescent="0.3">
      <c r="A606" s="32">
        <f t="shared" si="34"/>
        <v>574</v>
      </c>
      <c r="B606" s="21" t="s">
        <v>654</v>
      </c>
      <c r="C606" s="45" t="s">
        <v>638</v>
      </c>
      <c r="D606" s="20" t="s">
        <v>648</v>
      </c>
      <c r="E606" s="47">
        <v>45595</v>
      </c>
      <c r="F606" s="3">
        <f t="shared" si="33"/>
        <v>45382</v>
      </c>
      <c r="G606" s="28">
        <v>1950</v>
      </c>
      <c r="H606" s="32">
        <f t="shared" si="31"/>
        <v>180</v>
      </c>
      <c r="I606" s="4">
        <v>0</v>
      </c>
      <c r="K606" s="28"/>
      <c r="L606" s="8"/>
      <c r="M606" s="9"/>
      <c r="N606" s="9"/>
      <c r="O606" s="9"/>
      <c r="P606" s="9"/>
      <c r="Q606" s="10"/>
    </row>
    <row r="607" spans="1:17" ht="14.4" x14ac:dyDescent="0.3">
      <c r="A607" s="32">
        <f t="shared" si="34"/>
        <v>575</v>
      </c>
      <c r="B607" s="21" t="s">
        <v>654</v>
      </c>
      <c r="C607" s="45" t="s">
        <v>638</v>
      </c>
      <c r="D607" s="20" t="s">
        <v>648</v>
      </c>
      <c r="E607" s="47">
        <v>45595</v>
      </c>
      <c r="F607" s="3">
        <f t="shared" si="33"/>
        <v>45382</v>
      </c>
      <c r="G607" s="28">
        <v>6465</v>
      </c>
      <c r="H607" s="32">
        <f t="shared" si="31"/>
        <v>180</v>
      </c>
      <c r="I607" s="4">
        <v>0</v>
      </c>
      <c r="K607" s="28"/>
      <c r="L607" s="8"/>
      <c r="M607" s="9"/>
      <c r="N607" s="9"/>
      <c r="O607" s="9"/>
      <c r="P607" s="9"/>
      <c r="Q607" s="10"/>
    </row>
    <row r="608" spans="1:17" ht="14.4" x14ac:dyDescent="0.3">
      <c r="A608" s="32">
        <f t="shared" si="34"/>
        <v>576</v>
      </c>
      <c r="B608" s="21" t="s">
        <v>655</v>
      </c>
      <c r="C608" s="45" t="s">
        <v>638</v>
      </c>
      <c r="D608" s="20" t="s">
        <v>648</v>
      </c>
      <c r="E608" s="47">
        <v>45632</v>
      </c>
      <c r="F608" s="3">
        <f t="shared" si="33"/>
        <v>45382</v>
      </c>
      <c r="G608" s="28">
        <v>50000</v>
      </c>
      <c r="H608" s="32">
        <f t="shared" si="31"/>
        <v>180</v>
      </c>
      <c r="I608" s="4">
        <v>0</v>
      </c>
      <c r="K608" s="28"/>
      <c r="L608" s="8"/>
      <c r="M608" s="9"/>
      <c r="N608" s="9"/>
      <c r="O608" s="9"/>
      <c r="P608" s="9"/>
      <c r="Q608" s="10"/>
    </row>
    <row r="609" spans="1:17" ht="14.4" x14ac:dyDescent="0.3">
      <c r="A609" s="32">
        <f t="shared" si="34"/>
        <v>577</v>
      </c>
      <c r="B609" s="21" t="s">
        <v>656</v>
      </c>
      <c r="C609" s="45" t="s">
        <v>638</v>
      </c>
      <c r="D609" s="20" t="s">
        <v>99</v>
      </c>
      <c r="E609" s="47">
        <v>45397</v>
      </c>
      <c r="F609" s="3">
        <f t="shared" si="33"/>
        <v>45382</v>
      </c>
      <c r="G609" s="28">
        <v>422400</v>
      </c>
      <c r="H609" s="32">
        <f t="shared" si="31"/>
        <v>180</v>
      </c>
      <c r="I609" s="4">
        <v>0</v>
      </c>
      <c r="K609" s="28"/>
      <c r="L609" s="8"/>
      <c r="M609" s="9"/>
      <c r="N609" s="9"/>
      <c r="O609" s="9"/>
      <c r="P609" s="9"/>
      <c r="Q609" s="10"/>
    </row>
    <row r="610" spans="1:17" ht="14.4" x14ac:dyDescent="0.3">
      <c r="A610" s="32">
        <f>A574+1</f>
        <v>570</v>
      </c>
      <c r="B610" s="21" t="s">
        <v>657</v>
      </c>
      <c r="C610" s="45" t="s">
        <v>638</v>
      </c>
      <c r="D610" s="20" t="s">
        <v>99</v>
      </c>
      <c r="E610" s="47">
        <v>45470</v>
      </c>
      <c r="F610" s="3">
        <f t="shared" si="33"/>
        <v>45382</v>
      </c>
      <c r="G610" s="28">
        <v>14750</v>
      </c>
      <c r="H610" s="32">
        <f t="shared" si="31"/>
        <v>180</v>
      </c>
      <c r="I610" s="4">
        <v>0</v>
      </c>
      <c r="K610" s="28"/>
      <c r="L610" s="8"/>
      <c r="M610" s="9"/>
      <c r="N610" s="9"/>
      <c r="O610" s="9"/>
      <c r="P610" s="9"/>
      <c r="Q610" s="10"/>
    </row>
    <row r="611" spans="1:17" ht="14.4" x14ac:dyDescent="0.3">
      <c r="A611" s="32">
        <f>A575+1</f>
        <v>571</v>
      </c>
      <c r="B611" s="21" t="s">
        <v>658</v>
      </c>
      <c r="C611" s="45" t="s">
        <v>638</v>
      </c>
      <c r="D611" s="20" t="s">
        <v>99</v>
      </c>
      <c r="E611" s="47">
        <v>45516</v>
      </c>
      <c r="F611" s="3">
        <f t="shared" si="33"/>
        <v>45382</v>
      </c>
      <c r="G611" s="28">
        <v>11800</v>
      </c>
      <c r="H611" s="32">
        <f t="shared" si="31"/>
        <v>180</v>
      </c>
      <c r="I611" s="4">
        <v>0</v>
      </c>
      <c r="K611" s="28"/>
      <c r="L611" s="8"/>
      <c r="M611" s="9"/>
      <c r="N611" s="9"/>
      <c r="O611" s="9"/>
      <c r="P611" s="9"/>
      <c r="Q611" s="10"/>
    </row>
    <row r="612" spans="1:17" ht="14.4" x14ac:dyDescent="0.3">
      <c r="A612" s="32">
        <f>A576+1</f>
        <v>572</v>
      </c>
      <c r="B612" s="21" t="s">
        <v>659</v>
      </c>
      <c r="C612" s="45" t="s">
        <v>638</v>
      </c>
      <c r="D612" s="20" t="s">
        <v>99</v>
      </c>
      <c r="E612" s="47">
        <v>45544</v>
      </c>
      <c r="F612" s="3">
        <f t="shared" si="33"/>
        <v>45382</v>
      </c>
      <c r="G612" s="28">
        <v>14750</v>
      </c>
      <c r="H612" s="32">
        <f t="shared" si="31"/>
        <v>180</v>
      </c>
      <c r="I612" s="4">
        <v>0</v>
      </c>
      <c r="K612" s="28"/>
      <c r="L612" s="8"/>
      <c r="M612" s="9"/>
      <c r="N612" s="9"/>
      <c r="O612" s="9"/>
      <c r="P612" s="9"/>
      <c r="Q612" s="10"/>
    </row>
    <row r="613" spans="1:17" ht="14.4" x14ac:dyDescent="0.3">
      <c r="A613" s="32">
        <f>A577+1</f>
        <v>573</v>
      </c>
      <c r="B613" s="21" t="s">
        <v>660</v>
      </c>
      <c r="C613" s="45" t="s">
        <v>638</v>
      </c>
      <c r="D613" s="20" t="s">
        <v>99</v>
      </c>
      <c r="E613" s="47">
        <v>45555</v>
      </c>
      <c r="F613" s="3">
        <f t="shared" si="33"/>
        <v>45382</v>
      </c>
      <c r="G613" s="28">
        <v>1756</v>
      </c>
      <c r="H613" s="32">
        <f t="shared" si="31"/>
        <v>180</v>
      </c>
      <c r="I613" s="4">
        <v>0</v>
      </c>
      <c r="K613" s="28"/>
      <c r="L613" s="8"/>
      <c r="M613" s="9"/>
      <c r="N613" s="9"/>
      <c r="O613" s="9"/>
      <c r="P613" s="9"/>
      <c r="Q613" s="10"/>
    </row>
    <row r="614" spans="1:17" ht="14.4" x14ac:dyDescent="0.3">
      <c r="A614" s="32">
        <f t="shared" ref="A614:A619" si="35">A578+1</f>
        <v>574</v>
      </c>
      <c r="B614" s="21" t="s">
        <v>661</v>
      </c>
      <c r="C614" s="45" t="s">
        <v>638</v>
      </c>
      <c r="D614" s="20" t="s">
        <v>99</v>
      </c>
      <c r="E614" s="47">
        <v>45615</v>
      </c>
      <c r="F614" s="3">
        <f t="shared" si="33"/>
        <v>45382</v>
      </c>
      <c r="G614" s="28">
        <v>8165</v>
      </c>
      <c r="H614" s="32">
        <f t="shared" si="31"/>
        <v>180</v>
      </c>
      <c r="I614" s="4">
        <v>0</v>
      </c>
      <c r="K614" s="28"/>
      <c r="L614" s="8"/>
      <c r="M614" s="9"/>
      <c r="N614" s="9"/>
      <c r="O614" s="9"/>
      <c r="P614" s="9"/>
      <c r="Q614" s="10"/>
    </row>
    <row r="615" spans="1:17" ht="14.4" x14ac:dyDescent="0.3">
      <c r="A615" s="32">
        <f t="shared" si="35"/>
        <v>575</v>
      </c>
      <c r="B615" s="21" t="s">
        <v>662</v>
      </c>
      <c r="C615" s="45" t="s">
        <v>638</v>
      </c>
      <c r="D615" s="20" t="s">
        <v>99</v>
      </c>
      <c r="E615" s="47">
        <v>45625</v>
      </c>
      <c r="F615" s="3">
        <f t="shared" si="33"/>
        <v>45382</v>
      </c>
      <c r="G615" s="28">
        <v>17700</v>
      </c>
      <c r="H615" s="32">
        <f t="shared" si="31"/>
        <v>180</v>
      </c>
      <c r="I615" s="4">
        <v>0</v>
      </c>
      <c r="K615" s="28"/>
      <c r="L615" s="8"/>
      <c r="M615" s="9"/>
      <c r="N615" s="9"/>
      <c r="O615" s="9"/>
      <c r="P615" s="9"/>
      <c r="Q615" s="10"/>
    </row>
    <row r="616" spans="1:17" ht="14.4" x14ac:dyDescent="0.3">
      <c r="A616" s="32">
        <f t="shared" si="35"/>
        <v>576</v>
      </c>
      <c r="B616" s="21" t="s">
        <v>663</v>
      </c>
      <c r="C616" s="45" t="s">
        <v>638</v>
      </c>
      <c r="D616" s="20" t="s">
        <v>99</v>
      </c>
      <c r="E616" s="47">
        <v>45630</v>
      </c>
      <c r="F616" s="3">
        <f t="shared" si="33"/>
        <v>45382</v>
      </c>
      <c r="G616" s="28">
        <v>26550</v>
      </c>
      <c r="H616" s="32">
        <f t="shared" si="31"/>
        <v>180</v>
      </c>
      <c r="I616" s="4">
        <v>0</v>
      </c>
      <c r="K616" s="28"/>
      <c r="L616" s="8"/>
      <c r="M616" s="9"/>
      <c r="N616" s="9"/>
      <c r="O616" s="9"/>
      <c r="P616" s="9"/>
      <c r="Q616" s="10"/>
    </row>
    <row r="617" spans="1:17" ht="14.4" x14ac:dyDescent="0.3">
      <c r="A617" s="32">
        <f t="shared" si="35"/>
        <v>577</v>
      </c>
      <c r="B617" s="21" t="s">
        <v>664</v>
      </c>
      <c r="C617" s="45" t="s">
        <v>638</v>
      </c>
      <c r="D617" s="20" t="s">
        <v>99</v>
      </c>
      <c r="E617" s="47">
        <v>45639</v>
      </c>
      <c r="F617" s="3">
        <f t="shared" si="33"/>
        <v>45382</v>
      </c>
      <c r="G617" s="28">
        <v>8850</v>
      </c>
      <c r="H617" s="32">
        <f t="shared" si="31"/>
        <v>180</v>
      </c>
      <c r="I617" s="4">
        <v>0</v>
      </c>
      <c r="K617" s="28"/>
      <c r="L617" s="8"/>
      <c r="M617" s="9"/>
      <c r="N617" s="9"/>
      <c r="O617" s="9"/>
      <c r="P617" s="9"/>
      <c r="Q617" s="10"/>
    </row>
    <row r="618" spans="1:17" ht="14.4" x14ac:dyDescent="0.3">
      <c r="A618" s="32">
        <f t="shared" si="35"/>
        <v>578</v>
      </c>
      <c r="B618" s="21" t="s">
        <v>665</v>
      </c>
      <c r="C618" s="45" t="s">
        <v>638</v>
      </c>
      <c r="D618" s="20" t="s">
        <v>321</v>
      </c>
      <c r="E618" s="47">
        <v>45411</v>
      </c>
      <c r="F618" s="3">
        <f t="shared" si="33"/>
        <v>45382</v>
      </c>
      <c r="G618" s="28">
        <v>368160</v>
      </c>
      <c r="H618" s="32">
        <f t="shared" si="31"/>
        <v>180</v>
      </c>
      <c r="I618" s="4">
        <v>0</v>
      </c>
      <c r="K618" s="28"/>
      <c r="L618" s="8"/>
      <c r="M618" s="9"/>
      <c r="N618" s="9"/>
      <c r="O618" s="9"/>
      <c r="P618" s="9"/>
      <c r="Q618" s="10"/>
    </row>
    <row r="619" spans="1:17" ht="14.4" x14ac:dyDescent="0.3">
      <c r="A619" s="32">
        <f t="shared" si="35"/>
        <v>579</v>
      </c>
      <c r="B619" s="21" t="s">
        <v>666</v>
      </c>
      <c r="C619" s="45" t="s">
        <v>638</v>
      </c>
      <c r="D619" s="20" t="s">
        <v>321</v>
      </c>
      <c r="E619" s="47">
        <v>45414</v>
      </c>
      <c r="F619" s="3">
        <f t="shared" si="33"/>
        <v>45382</v>
      </c>
      <c r="G619" s="28">
        <v>188800</v>
      </c>
      <c r="H619" s="32">
        <f t="shared" si="31"/>
        <v>180</v>
      </c>
      <c r="I619" s="4">
        <v>0</v>
      </c>
      <c r="K619" s="28"/>
      <c r="L619" s="8"/>
      <c r="M619" s="9"/>
      <c r="N619" s="9"/>
      <c r="O619" s="9"/>
      <c r="P619" s="9"/>
      <c r="Q619" s="10"/>
    </row>
    <row r="620" spans="1:17" ht="14.4" x14ac:dyDescent="0.3">
      <c r="A620" s="32">
        <f>A577+1</f>
        <v>573</v>
      </c>
      <c r="B620" s="21" t="s">
        <v>667</v>
      </c>
      <c r="C620" s="45" t="s">
        <v>638</v>
      </c>
      <c r="D620" s="20" t="s">
        <v>321</v>
      </c>
      <c r="E620" s="47">
        <v>45446</v>
      </c>
      <c r="F620" s="3">
        <f t="shared" si="33"/>
        <v>45382</v>
      </c>
      <c r="G620" s="28">
        <v>102507</v>
      </c>
      <c r="H620" s="32">
        <f t="shared" si="31"/>
        <v>180</v>
      </c>
      <c r="I620" s="4">
        <v>0</v>
      </c>
      <c r="K620" s="28"/>
      <c r="L620" s="8"/>
      <c r="M620" s="9"/>
      <c r="N620" s="9"/>
      <c r="O620" s="9"/>
      <c r="P620" s="9"/>
      <c r="Q620" s="10"/>
    </row>
    <row r="621" spans="1:17" ht="14.4" x14ac:dyDescent="0.3">
      <c r="A621" s="32">
        <f>A579+1</f>
        <v>575</v>
      </c>
      <c r="B621" s="21" t="s">
        <v>668</v>
      </c>
      <c r="C621" s="45" t="s">
        <v>638</v>
      </c>
      <c r="D621" s="20" t="s">
        <v>321</v>
      </c>
      <c r="E621" s="48">
        <v>45448</v>
      </c>
      <c r="F621" s="3">
        <f t="shared" si="33"/>
        <v>45382</v>
      </c>
      <c r="G621" s="28">
        <v>7670</v>
      </c>
      <c r="H621" s="32">
        <f t="shared" si="31"/>
        <v>180</v>
      </c>
      <c r="I621" s="4">
        <v>0</v>
      </c>
      <c r="K621" s="28"/>
      <c r="L621" s="8"/>
      <c r="M621" s="9"/>
      <c r="N621" s="9"/>
      <c r="O621" s="9"/>
      <c r="P621" s="9"/>
      <c r="Q621" s="10"/>
    </row>
    <row r="622" spans="1:17" ht="14.4" x14ac:dyDescent="0.3">
      <c r="A622" s="32">
        <f>A585+1</f>
        <v>581</v>
      </c>
      <c r="B622" s="21" t="s">
        <v>669</v>
      </c>
      <c r="C622" s="45" t="s">
        <v>638</v>
      </c>
      <c r="D622" s="20" t="s">
        <v>321</v>
      </c>
      <c r="E622" s="49">
        <v>45489</v>
      </c>
      <c r="F622" s="3">
        <f t="shared" si="33"/>
        <v>45382</v>
      </c>
      <c r="G622" s="28">
        <v>14001</v>
      </c>
      <c r="H622" s="32">
        <f t="shared" si="31"/>
        <v>180</v>
      </c>
      <c r="I622" s="4">
        <v>0</v>
      </c>
      <c r="K622" s="28"/>
      <c r="L622" s="8"/>
      <c r="M622" s="9"/>
      <c r="N622" s="9"/>
      <c r="O622" s="9"/>
      <c r="P622" s="9"/>
      <c r="Q622" s="10"/>
    </row>
    <row r="623" spans="1:17" ht="14.4" x14ac:dyDescent="0.3">
      <c r="A623" s="32">
        <f>A586+1</f>
        <v>582</v>
      </c>
      <c r="B623" s="21" t="s">
        <v>670</v>
      </c>
      <c r="C623" s="45" t="s">
        <v>638</v>
      </c>
      <c r="D623" s="20" t="s">
        <v>321</v>
      </c>
      <c r="E623" s="49">
        <v>45489</v>
      </c>
      <c r="F623" s="3">
        <f t="shared" si="33"/>
        <v>45382</v>
      </c>
      <c r="G623" s="28">
        <v>16800</v>
      </c>
      <c r="H623" s="32">
        <f t="shared" si="31"/>
        <v>180</v>
      </c>
      <c r="I623" s="4">
        <v>0</v>
      </c>
      <c r="K623" s="28"/>
      <c r="L623" s="8"/>
      <c r="M623" s="9"/>
      <c r="N623" s="9"/>
      <c r="O623" s="9"/>
      <c r="P623" s="9"/>
      <c r="Q623" s="10"/>
    </row>
    <row r="624" spans="1:17" ht="14.4" x14ac:dyDescent="0.3">
      <c r="A624" s="32">
        <f t="shared" ref="A624:A687" si="36">A587+1</f>
        <v>583</v>
      </c>
      <c r="B624" s="21" t="s">
        <v>671</v>
      </c>
      <c r="C624" s="45" t="s">
        <v>638</v>
      </c>
      <c r="D624" s="20" t="s">
        <v>321</v>
      </c>
      <c r="E624" s="49">
        <v>45541</v>
      </c>
      <c r="F624" s="3">
        <f t="shared" si="33"/>
        <v>45382</v>
      </c>
      <c r="G624" s="28">
        <v>92309</v>
      </c>
      <c r="H624" s="32">
        <f t="shared" si="31"/>
        <v>180</v>
      </c>
      <c r="I624" s="4">
        <v>0</v>
      </c>
      <c r="K624" s="28"/>
      <c r="L624" s="8"/>
      <c r="M624" s="9"/>
      <c r="N624" s="9"/>
      <c r="O624" s="9"/>
      <c r="P624" s="9"/>
      <c r="Q624" s="10"/>
    </row>
    <row r="625" spans="1:17" ht="14.4" x14ac:dyDescent="0.3">
      <c r="A625" s="32">
        <f t="shared" si="36"/>
        <v>584</v>
      </c>
      <c r="B625" s="21" t="s">
        <v>672</v>
      </c>
      <c r="C625" s="45" t="s">
        <v>638</v>
      </c>
      <c r="D625" s="20" t="s">
        <v>321</v>
      </c>
      <c r="E625" s="49">
        <v>45601</v>
      </c>
      <c r="F625" s="3">
        <f t="shared" si="33"/>
        <v>45382</v>
      </c>
      <c r="G625" s="28">
        <v>107852</v>
      </c>
      <c r="H625" s="32">
        <f t="shared" si="31"/>
        <v>180</v>
      </c>
      <c r="I625" s="4">
        <v>0</v>
      </c>
      <c r="K625" s="28"/>
      <c r="L625" s="8"/>
      <c r="M625" s="9"/>
      <c r="N625" s="9"/>
      <c r="O625" s="9"/>
      <c r="P625" s="9"/>
      <c r="Q625" s="10"/>
    </row>
    <row r="626" spans="1:17" ht="14.4" x14ac:dyDescent="0.3">
      <c r="A626" s="32">
        <f t="shared" si="36"/>
        <v>585</v>
      </c>
      <c r="B626" s="21" t="s">
        <v>673</v>
      </c>
      <c r="C626" s="45" t="s">
        <v>638</v>
      </c>
      <c r="D626" s="20" t="s">
        <v>321</v>
      </c>
      <c r="E626" s="49">
        <v>45632</v>
      </c>
      <c r="F626" s="3">
        <f t="shared" si="33"/>
        <v>45382</v>
      </c>
      <c r="G626" s="28">
        <v>896000</v>
      </c>
      <c r="H626" s="32">
        <f t="shared" si="31"/>
        <v>180</v>
      </c>
      <c r="I626" s="4">
        <v>0</v>
      </c>
      <c r="K626" s="28"/>
      <c r="L626" s="8"/>
      <c r="M626" s="9"/>
      <c r="N626" s="9"/>
      <c r="O626" s="9"/>
      <c r="P626" s="9"/>
      <c r="Q626" s="10"/>
    </row>
    <row r="627" spans="1:17" ht="14.4" x14ac:dyDescent="0.3">
      <c r="A627" s="32">
        <f t="shared" si="36"/>
        <v>586</v>
      </c>
      <c r="B627" s="21" t="s">
        <v>674</v>
      </c>
      <c r="C627" s="45" t="s">
        <v>638</v>
      </c>
      <c r="D627" s="20" t="s">
        <v>321</v>
      </c>
      <c r="E627" s="49">
        <v>45644</v>
      </c>
      <c r="F627" s="3">
        <f t="shared" si="33"/>
        <v>45382</v>
      </c>
      <c r="G627" s="28">
        <v>3068</v>
      </c>
      <c r="H627" s="32">
        <f t="shared" si="31"/>
        <v>180</v>
      </c>
      <c r="I627" s="4">
        <v>0</v>
      </c>
      <c r="K627" s="28"/>
      <c r="L627" s="8"/>
      <c r="M627" s="9"/>
      <c r="N627" s="9"/>
      <c r="O627" s="9"/>
      <c r="P627" s="9"/>
      <c r="Q627" s="10"/>
    </row>
    <row r="628" spans="1:17" ht="14.4" x14ac:dyDescent="0.3">
      <c r="A628" s="32">
        <f t="shared" si="36"/>
        <v>587</v>
      </c>
      <c r="B628" s="21" t="s">
        <v>675</v>
      </c>
      <c r="C628" s="45" t="s">
        <v>638</v>
      </c>
      <c r="D628" s="20" t="s">
        <v>321</v>
      </c>
      <c r="E628" s="49">
        <v>45654</v>
      </c>
      <c r="F628" s="3">
        <f t="shared" si="33"/>
        <v>45382</v>
      </c>
      <c r="G628" s="28">
        <v>432175</v>
      </c>
      <c r="H628" s="32">
        <f t="shared" si="31"/>
        <v>180</v>
      </c>
      <c r="I628" s="4">
        <v>0</v>
      </c>
      <c r="K628" s="28"/>
      <c r="L628" s="8"/>
      <c r="M628" s="9"/>
      <c r="N628" s="9"/>
      <c r="O628" s="9"/>
      <c r="P628" s="9"/>
      <c r="Q628" s="10"/>
    </row>
    <row r="629" spans="1:17" ht="14.4" x14ac:dyDescent="0.3">
      <c r="A629" s="32">
        <f t="shared" si="36"/>
        <v>588</v>
      </c>
      <c r="B629" s="21" t="s">
        <v>676</v>
      </c>
      <c r="C629" s="45" t="s">
        <v>638</v>
      </c>
      <c r="D629" s="20" t="s">
        <v>321</v>
      </c>
      <c r="E629" s="49">
        <v>45654</v>
      </c>
      <c r="F629" s="3">
        <f t="shared" si="33"/>
        <v>45382</v>
      </c>
      <c r="G629" s="28">
        <v>519680</v>
      </c>
      <c r="H629" s="32">
        <f t="shared" si="31"/>
        <v>180</v>
      </c>
      <c r="I629" s="4">
        <v>0</v>
      </c>
      <c r="K629" s="28"/>
      <c r="L629" s="8"/>
      <c r="M629" s="9"/>
      <c r="N629" s="9"/>
      <c r="O629" s="9"/>
      <c r="P629" s="9"/>
      <c r="Q629" s="10"/>
    </row>
    <row r="630" spans="1:17" ht="14.4" x14ac:dyDescent="0.3">
      <c r="A630" s="32">
        <f t="shared" si="36"/>
        <v>589</v>
      </c>
      <c r="B630" s="21" t="s">
        <v>677</v>
      </c>
      <c r="C630" s="45" t="s">
        <v>638</v>
      </c>
      <c r="D630" s="20" t="s">
        <v>321</v>
      </c>
      <c r="E630" s="49">
        <v>45654</v>
      </c>
      <c r="F630" s="3">
        <f t="shared" si="33"/>
        <v>45382</v>
      </c>
      <c r="G630" s="28">
        <v>381120</v>
      </c>
      <c r="H630" s="32">
        <f t="shared" si="31"/>
        <v>180</v>
      </c>
      <c r="I630" s="4">
        <v>0</v>
      </c>
      <c r="K630" s="28"/>
      <c r="L630" s="8"/>
      <c r="M630" s="9"/>
      <c r="N630" s="9"/>
      <c r="O630" s="9"/>
      <c r="P630" s="9"/>
      <c r="Q630" s="10"/>
    </row>
    <row r="631" spans="1:17" ht="14.4" x14ac:dyDescent="0.3">
      <c r="A631" s="32">
        <f t="shared" si="36"/>
        <v>590</v>
      </c>
      <c r="B631" s="21" t="s">
        <v>678</v>
      </c>
      <c r="C631" s="45" t="s">
        <v>638</v>
      </c>
      <c r="D631" s="20" t="s">
        <v>321</v>
      </c>
      <c r="E631" s="49">
        <v>45462</v>
      </c>
      <c r="F631" s="3">
        <f t="shared" si="33"/>
        <v>45382</v>
      </c>
      <c r="G631" s="28">
        <v>4975</v>
      </c>
      <c r="H631" s="32">
        <f t="shared" si="31"/>
        <v>180</v>
      </c>
      <c r="I631" s="4">
        <v>0</v>
      </c>
      <c r="K631" s="28"/>
      <c r="L631" s="8"/>
      <c r="M631" s="9"/>
      <c r="N631" s="9"/>
      <c r="O631" s="9"/>
      <c r="P631" s="9"/>
      <c r="Q631" s="10"/>
    </row>
    <row r="632" spans="1:17" ht="14.4" x14ac:dyDescent="0.3">
      <c r="A632" s="32">
        <f t="shared" si="36"/>
        <v>591</v>
      </c>
      <c r="B632" s="21" t="s">
        <v>679</v>
      </c>
      <c r="C632" s="45" t="s">
        <v>638</v>
      </c>
      <c r="D632" s="20" t="s">
        <v>321</v>
      </c>
      <c r="E632" s="49">
        <v>45400</v>
      </c>
      <c r="F632" s="3">
        <f t="shared" si="33"/>
        <v>45382</v>
      </c>
      <c r="G632" s="28">
        <v>6800</v>
      </c>
      <c r="H632" s="32">
        <f t="shared" si="31"/>
        <v>180</v>
      </c>
      <c r="I632" s="4">
        <v>0</v>
      </c>
      <c r="K632" s="28"/>
      <c r="L632" s="8"/>
      <c r="M632" s="9"/>
      <c r="N632" s="9"/>
      <c r="O632" s="9"/>
      <c r="P632" s="9"/>
      <c r="Q632" s="10"/>
    </row>
    <row r="633" spans="1:17" ht="14.4" x14ac:dyDescent="0.3">
      <c r="A633" s="32">
        <f t="shared" si="36"/>
        <v>592</v>
      </c>
      <c r="B633" s="21" t="s">
        <v>680</v>
      </c>
      <c r="C633" s="45" t="s">
        <v>638</v>
      </c>
      <c r="D633" s="20" t="s">
        <v>321</v>
      </c>
      <c r="E633" s="49">
        <v>45582</v>
      </c>
      <c r="F633" s="3">
        <f t="shared" si="33"/>
        <v>45382</v>
      </c>
      <c r="G633" s="28">
        <v>2000</v>
      </c>
      <c r="H633" s="32">
        <f t="shared" si="31"/>
        <v>180</v>
      </c>
      <c r="I633" s="4">
        <v>0</v>
      </c>
      <c r="K633" s="28"/>
      <c r="L633" s="8"/>
      <c r="M633" s="9"/>
      <c r="N633" s="9"/>
      <c r="O633" s="9"/>
      <c r="P633" s="9"/>
      <c r="Q633" s="10"/>
    </row>
    <row r="634" spans="1:17" ht="14.4" x14ac:dyDescent="0.3">
      <c r="A634" s="32">
        <f t="shared" si="36"/>
        <v>593</v>
      </c>
      <c r="B634" s="21" t="s">
        <v>681</v>
      </c>
      <c r="C634" s="45" t="s">
        <v>638</v>
      </c>
      <c r="D634" s="20" t="s">
        <v>321</v>
      </c>
      <c r="E634" s="49">
        <v>45587</v>
      </c>
      <c r="F634" s="3">
        <f t="shared" si="33"/>
        <v>45382</v>
      </c>
      <c r="G634" s="28">
        <v>23600</v>
      </c>
      <c r="H634" s="32">
        <f t="shared" si="31"/>
        <v>180</v>
      </c>
      <c r="I634" s="4">
        <v>0</v>
      </c>
      <c r="K634" s="28"/>
      <c r="L634" s="8"/>
      <c r="M634" s="9"/>
      <c r="N634" s="9"/>
      <c r="O634" s="9"/>
      <c r="P634" s="9"/>
      <c r="Q634" s="10"/>
    </row>
    <row r="635" spans="1:17" ht="14.4" x14ac:dyDescent="0.3">
      <c r="A635" s="32">
        <f t="shared" si="36"/>
        <v>594</v>
      </c>
      <c r="B635" s="21" t="s">
        <v>682</v>
      </c>
      <c r="C635" s="45" t="s">
        <v>638</v>
      </c>
      <c r="D635" s="20" t="s">
        <v>321</v>
      </c>
      <c r="E635" s="49">
        <v>45593</v>
      </c>
      <c r="F635" s="3">
        <f t="shared" si="33"/>
        <v>45382</v>
      </c>
      <c r="G635" s="28">
        <v>4850</v>
      </c>
      <c r="H635" s="32">
        <f t="shared" si="31"/>
        <v>180</v>
      </c>
      <c r="I635" s="4">
        <v>0</v>
      </c>
      <c r="K635" s="28"/>
      <c r="L635" s="8"/>
      <c r="M635" s="9"/>
      <c r="N635" s="9"/>
      <c r="O635" s="9"/>
      <c r="P635" s="9"/>
      <c r="Q635" s="10"/>
    </row>
    <row r="636" spans="1:17" ht="14.4" x14ac:dyDescent="0.3">
      <c r="A636" s="32">
        <f t="shared" si="36"/>
        <v>595</v>
      </c>
      <c r="B636" s="21" t="s">
        <v>683</v>
      </c>
      <c r="C636" s="45" t="s">
        <v>638</v>
      </c>
      <c r="D636" s="20" t="s">
        <v>321</v>
      </c>
      <c r="E636" s="49">
        <v>45610</v>
      </c>
      <c r="F636" s="3">
        <f t="shared" si="33"/>
        <v>45382</v>
      </c>
      <c r="G636" s="28">
        <v>7400</v>
      </c>
      <c r="H636" s="32">
        <f t="shared" ref="H636:H688" si="37">15*12</f>
        <v>180</v>
      </c>
      <c r="I636" s="4">
        <v>0</v>
      </c>
      <c r="K636" s="28"/>
      <c r="L636" s="8"/>
      <c r="M636" s="9"/>
      <c r="N636" s="9"/>
      <c r="O636" s="9"/>
      <c r="P636" s="9"/>
      <c r="Q636" s="10"/>
    </row>
    <row r="637" spans="1:17" ht="14.4" x14ac:dyDescent="0.3">
      <c r="A637" s="32">
        <f t="shared" si="36"/>
        <v>569</v>
      </c>
      <c r="B637" s="21" t="s">
        <v>684</v>
      </c>
      <c r="C637" s="45" t="s">
        <v>638</v>
      </c>
      <c r="D637" s="20" t="s">
        <v>321</v>
      </c>
      <c r="E637" s="49">
        <v>45615</v>
      </c>
      <c r="F637" s="3">
        <f t="shared" si="33"/>
        <v>45382</v>
      </c>
      <c r="G637" s="28">
        <v>13600</v>
      </c>
      <c r="H637" s="32">
        <f t="shared" si="37"/>
        <v>180</v>
      </c>
      <c r="I637" s="4">
        <v>0</v>
      </c>
      <c r="K637" s="28"/>
      <c r="L637" s="8"/>
      <c r="M637" s="9"/>
      <c r="N637" s="9"/>
      <c r="O637" s="9"/>
      <c r="P637" s="9"/>
      <c r="Q637" s="10"/>
    </row>
    <row r="638" spans="1:17" ht="14.4" x14ac:dyDescent="0.3">
      <c r="A638" s="32">
        <f t="shared" si="36"/>
        <v>570</v>
      </c>
      <c r="B638" s="21" t="s">
        <v>685</v>
      </c>
      <c r="C638" s="45" t="s">
        <v>638</v>
      </c>
      <c r="D638" s="20" t="s">
        <v>321</v>
      </c>
      <c r="E638" s="49">
        <v>45619</v>
      </c>
      <c r="F638" s="3">
        <f t="shared" si="33"/>
        <v>45382</v>
      </c>
      <c r="G638" s="28">
        <v>14100</v>
      </c>
      <c r="H638" s="32">
        <f t="shared" si="37"/>
        <v>180</v>
      </c>
      <c r="I638" s="4">
        <v>0</v>
      </c>
      <c r="K638" s="28"/>
      <c r="L638" s="8"/>
      <c r="M638" s="9"/>
      <c r="N638" s="9"/>
      <c r="O638" s="9"/>
      <c r="P638" s="9"/>
      <c r="Q638" s="10"/>
    </row>
    <row r="639" spans="1:17" ht="14.4" x14ac:dyDescent="0.3">
      <c r="A639" s="32">
        <f t="shared" si="36"/>
        <v>571</v>
      </c>
      <c r="B639" s="21" t="s">
        <v>686</v>
      </c>
      <c r="C639" s="45" t="s">
        <v>638</v>
      </c>
      <c r="D639" s="20" t="s">
        <v>321</v>
      </c>
      <c r="E639" s="49">
        <v>45411</v>
      </c>
      <c r="F639" s="3">
        <f t="shared" si="33"/>
        <v>45382</v>
      </c>
      <c r="G639" s="28">
        <v>38940</v>
      </c>
      <c r="H639" s="32">
        <f t="shared" si="37"/>
        <v>180</v>
      </c>
      <c r="I639" s="4">
        <v>0</v>
      </c>
      <c r="K639" s="28"/>
      <c r="L639" s="8"/>
      <c r="M639" s="9"/>
      <c r="N639" s="9"/>
      <c r="O639" s="9"/>
      <c r="P639" s="9"/>
      <c r="Q639" s="10"/>
    </row>
    <row r="640" spans="1:17" ht="14.4" x14ac:dyDescent="0.3">
      <c r="A640" s="32">
        <f t="shared" si="36"/>
        <v>572</v>
      </c>
      <c r="B640" s="21" t="s">
        <v>687</v>
      </c>
      <c r="C640" s="45" t="s">
        <v>638</v>
      </c>
      <c r="D640" s="20" t="s">
        <v>321</v>
      </c>
      <c r="E640" s="49">
        <v>45509</v>
      </c>
      <c r="F640" s="3">
        <f t="shared" si="33"/>
        <v>45382</v>
      </c>
      <c r="G640" s="28">
        <v>1705</v>
      </c>
      <c r="H640" s="32">
        <f t="shared" si="37"/>
        <v>180</v>
      </c>
      <c r="I640" s="4">
        <v>0</v>
      </c>
      <c r="K640" s="28"/>
      <c r="L640" s="8"/>
      <c r="M640" s="9"/>
      <c r="N640" s="9"/>
      <c r="O640" s="9"/>
      <c r="P640" s="9"/>
      <c r="Q640" s="10"/>
    </row>
    <row r="641" spans="1:17" ht="14.4" x14ac:dyDescent="0.3">
      <c r="A641" s="32">
        <f t="shared" si="36"/>
        <v>573</v>
      </c>
      <c r="B641" s="21" t="s">
        <v>688</v>
      </c>
      <c r="C641" s="45" t="s">
        <v>638</v>
      </c>
      <c r="D641" s="20" t="s">
        <v>321</v>
      </c>
      <c r="E641" s="49">
        <v>45565</v>
      </c>
      <c r="F641" s="3">
        <f t="shared" si="33"/>
        <v>45382</v>
      </c>
      <c r="G641" s="28">
        <v>8400</v>
      </c>
      <c r="H641" s="32">
        <f t="shared" si="37"/>
        <v>180</v>
      </c>
      <c r="I641" s="4">
        <v>0</v>
      </c>
      <c r="K641" s="28"/>
      <c r="L641" s="8"/>
      <c r="M641" s="9"/>
      <c r="N641" s="9"/>
      <c r="O641" s="9"/>
      <c r="P641" s="9"/>
      <c r="Q641" s="10"/>
    </row>
    <row r="642" spans="1:17" ht="14.4" x14ac:dyDescent="0.3">
      <c r="A642" s="32">
        <f t="shared" si="36"/>
        <v>574</v>
      </c>
      <c r="B642" s="21" t="s">
        <v>689</v>
      </c>
      <c r="C642" s="45" t="s">
        <v>638</v>
      </c>
      <c r="D642" s="20" t="s">
        <v>621</v>
      </c>
      <c r="E642" s="49">
        <v>45387</v>
      </c>
      <c r="F642" s="3">
        <f t="shared" si="33"/>
        <v>45382</v>
      </c>
      <c r="G642" s="28">
        <v>19998</v>
      </c>
      <c r="H642" s="32">
        <f t="shared" si="37"/>
        <v>180</v>
      </c>
      <c r="I642" s="4">
        <v>0</v>
      </c>
      <c r="K642" s="28"/>
      <c r="L642" s="8"/>
      <c r="M642" s="9"/>
      <c r="N642" s="9"/>
      <c r="O642" s="9"/>
      <c r="P642" s="9"/>
      <c r="Q642" s="10"/>
    </row>
    <row r="643" spans="1:17" ht="14.4" x14ac:dyDescent="0.3">
      <c r="A643" s="32">
        <f t="shared" si="36"/>
        <v>575</v>
      </c>
      <c r="B643" s="21" t="s">
        <v>690</v>
      </c>
      <c r="C643" s="45" t="s">
        <v>638</v>
      </c>
      <c r="D643" s="20" t="s">
        <v>621</v>
      </c>
      <c r="E643" s="49">
        <v>45400</v>
      </c>
      <c r="F643" s="3">
        <f t="shared" si="33"/>
        <v>45382</v>
      </c>
      <c r="G643" s="28">
        <v>548800</v>
      </c>
      <c r="H643" s="32">
        <f t="shared" si="37"/>
        <v>180</v>
      </c>
      <c r="I643" s="4">
        <v>0</v>
      </c>
      <c r="K643" s="28"/>
      <c r="L643" s="8"/>
      <c r="M643" s="9"/>
      <c r="N643" s="9"/>
      <c r="O643" s="9"/>
      <c r="P643" s="9"/>
      <c r="Q643" s="10"/>
    </row>
    <row r="644" spans="1:17" ht="14.4" x14ac:dyDescent="0.3">
      <c r="A644" s="32">
        <f t="shared" si="36"/>
        <v>576</v>
      </c>
      <c r="B644" s="21" t="s">
        <v>691</v>
      </c>
      <c r="C644" s="45" t="s">
        <v>638</v>
      </c>
      <c r="D644" s="20" t="s">
        <v>621</v>
      </c>
      <c r="E644" s="49">
        <v>45405</v>
      </c>
      <c r="F644" s="3">
        <f t="shared" ref="F644:F688" si="38">F643</f>
        <v>45382</v>
      </c>
      <c r="G644" s="28">
        <v>34272</v>
      </c>
      <c r="H644" s="32">
        <f t="shared" si="37"/>
        <v>180</v>
      </c>
      <c r="I644" s="4">
        <v>0</v>
      </c>
      <c r="K644" s="28"/>
      <c r="L644" s="8"/>
      <c r="M644" s="9"/>
      <c r="N644" s="9"/>
      <c r="O644" s="9"/>
      <c r="P644" s="9"/>
      <c r="Q644" s="10"/>
    </row>
    <row r="645" spans="1:17" ht="14.4" x14ac:dyDescent="0.3">
      <c r="A645" s="32">
        <f t="shared" si="36"/>
        <v>577</v>
      </c>
      <c r="B645" s="21" t="s">
        <v>692</v>
      </c>
      <c r="C645" s="45" t="s">
        <v>638</v>
      </c>
      <c r="D645" s="20" t="s">
        <v>621</v>
      </c>
      <c r="E645" s="49">
        <v>45411</v>
      </c>
      <c r="F645" s="3">
        <f t="shared" si="38"/>
        <v>45382</v>
      </c>
      <c r="G645" s="28">
        <v>1624</v>
      </c>
      <c r="H645" s="32">
        <f t="shared" si="37"/>
        <v>180</v>
      </c>
      <c r="I645" s="4">
        <v>0</v>
      </c>
      <c r="K645" s="28"/>
      <c r="L645" s="8"/>
      <c r="M645" s="9"/>
      <c r="N645" s="9"/>
      <c r="O645" s="9"/>
      <c r="P645" s="9"/>
      <c r="Q645" s="10"/>
    </row>
    <row r="646" spans="1:17" ht="14.4" x14ac:dyDescent="0.3">
      <c r="A646" s="32">
        <f t="shared" si="36"/>
        <v>578</v>
      </c>
      <c r="B646" s="21" t="s">
        <v>693</v>
      </c>
      <c r="C646" s="45" t="s">
        <v>638</v>
      </c>
      <c r="D646" s="20" t="s">
        <v>621</v>
      </c>
      <c r="E646" s="49">
        <v>45411</v>
      </c>
      <c r="F646" s="3">
        <f t="shared" si="38"/>
        <v>45382</v>
      </c>
      <c r="G646" s="28">
        <v>98000</v>
      </c>
      <c r="H646" s="32">
        <f t="shared" si="37"/>
        <v>180</v>
      </c>
      <c r="I646" s="4">
        <v>0</v>
      </c>
      <c r="K646" s="28"/>
      <c r="L646" s="8"/>
      <c r="M646" s="9"/>
      <c r="N646" s="9"/>
      <c r="O646" s="9"/>
      <c r="P646" s="9"/>
      <c r="Q646" s="10"/>
    </row>
    <row r="647" spans="1:17" ht="14.4" x14ac:dyDescent="0.3">
      <c r="A647" s="32">
        <f t="shared" si="36"/>
        <v>571</v>
      </c>
      <c r="B647" s="21" t="s">
        <v>694</v>
      </c>
      <c r="C647" s="45" t="s">
        <v>638</v>
      </c>
      <c r="D647" s="20" t="s">
        <v>621</v>
      </c>
      <c r="E647" s="49">
        <v>45416</v>
      </c>
      <c r="F647" s="3">
        <f t="shared" si="38"/>
        <v>45382</v>
      </c>
      <c r="G647" s="28">
        <v>31696</v>
      </c>
      <c r="H647" s="32">
        <f t="shared" si="37"/>
        <v>180</v>
      </c>
      <c r="I647" s="4">
        <v>0</v>
      </c>
      <c r="K647" s="28"/>
      <c r="L647" s="8"/>
      <c r="M647" s="9"/>
      <c r="N647" s="9"/>
      <c r="O647" s="9"/>
      <c r="P647" s="9"/>
      <c r="Q647" s="10"/>
    </row>
    <row r="648" spans="1:17" ht="14.4" x14ac:dyDescent="0.3">
      <c r="A648" s="32">
        <f t="shared" si="36"/>
        <v>572</v>
      </c>
      <c r="B648" s="21" t="s">
        <v>695</v>
      </c>
      <c r="C648" s="45" t="s">
        <v>638</v>
      </c>
      <c r="D648" s="20" t="s">
        <v>621</v>
      </c>
      <c r="E648" s="49">
        <v>45422</v>
      </c>
      <c r="F648" s="3">
        <f t="shared" si="38"/>
        <v>45382</v>
      </c>
      <c r="G648" s="28">
        <v>82253</v>
      </c>
      <c r="H648" s="32">
        <f t="shared" si="37"/>
        <v>180</v>
      </c>
      <c r="I648" s="4">
        <v>0</v>
      </c>
      <c r="K648" s="28"/>
      <c r="L648" s="8"/>
      <c r="M648" s="9"/>
      <c r="N648" s="9"/>
      <c r="O648" s="9"/>
      <c r="P648" s="9"/>
      <c r="Q648" s="10"/>
    </row>
    <row r="649" spans="1:17" ht="14.4" x14ac:dyDescent="0.3">
      <c r="A649" s="32">
        <f t="shared" si="36"/>
        <v>573</v>
      </c>
      <c r="B649" s="21" t="s">
        <v>696</v>
      </c>
      <c r="C649" s="45" t="s">
        <v>638</v>
      </c>
      <c r="D649" s="20" t="s">
        <v>621</v>
      </c>
      <c r="E649" s="49">
        <v>45425</v>
      </c>
      <c r="F649" s="3">
        <f t="shared" si="38"/>
        <v>45382</v>
      </c>
      <c r="G649" s="28">
        <v>1075</v>
      </c>
      <c r="H649" s="32">
        <f t="shared" si="37"/>
        <v>180</v>
      </c>
      <c r="I649" s="4">
        <v>0</v>
      </c>
      <c r="K649" s="28"/>
      <c r="L649" s="8"/>
      <c r="M649" s="9"/>
      <c r="N649" s="9"/>
      <c r="O649" s="9"/>
      <c r="P649" s="9"/>
      <c r="Q649" s="10"/>
    </row>
    <row r="650" spans="1:17" ht="14.4" x14ac:dyDescent="0.3">
      <c r="A650" s="32">
        <f t="shared" si="36"/>
        <v>574</v>
      </c>
      <c r="B650" s="21" t="s">
        <v>697</v>
      </c>
      <c r="C650" s="45" t="s">
        <v>638</v>
      </c>
      <c r="D650" s="20" t="s">
        <v>621</v>
      </c>
      <c r="E650" s="49">
        <v>45427</v>
      </c>
      <c r="F650" s="3">
        <f t="shared" si="38"/>
        <v>45382</v>
      </c>
      <c r="G650" s="28">
        <v>19470</v>
      </c>
      <c r="H650" s="32">
        <f t="shared" si="37"/>
        <v>180</v>
      </c>
      <c r="I650" s="4">
        <v>0</v>
      </c>
      <c r="K650" s="28"/>
      <c r="L650" s="8"/>
      <c r="M650" s="9"/>
      <c r="N650" s="9"/>
      <c r="O650" s="9"/>
      <c r="P650" s="9"/>
      <c r="Q650" s="10"/>
    </row>
    <row r="651" spans="1:17" ht="14.4" x14ac:dyDescent="0.3">
      <c r="A651" s="32">
        <f t="shared" si="36"/>
        <v>575</v>
      </c>
      <c r="B651" s="21" t="s">
        <v>698</v>
      </c>
      <c r="C651" s="45" t="s">
        <v>638</v>
      </c>
      <c r="D651" s="20" t="s">
        <v>621</v>
      </c>
      <c r="E651" s="49">
        <v>45436</v>
      </c>
      <c r="F651" s="3">
        <f t="shared" si="38"/>
        <v>45382</v>
      </c>
      <c r="G651" s="28">
        <v>4200</v>
      </c>
      <c r="H651" s="32">
        <f t="shared" si="37"/>
        <v>180</v>
      </c>
      <c r="I651" s="4">
        <v>0</v>
      </c>
      <c r="K651" s="28"/>
      <c r="L651" s="8"/>
      <c r="M651" s="9"/>
      <c r="N651" s="9"/>
      <c r="O651" s="9"/>
      <c r="P651" s="9"/>
      <c r="Q651" s="10"/>
    </row>
    <row r="652" spans="1:17" ht="14.4" x14ac:dyDescent="0.3">
      <c r="A652" s="32">
        <f t="shared" si="36"/>
        <v>576</v>
      </c>
      <c r="B652" s="21" t="s">
        <v>699</v>
      </c>
      <c r="C652" s="45" t="s">
        <v>638</v>
      </c>
      <c r="D652" s="20" t="s">
        <v>621</v>
      </c>
      <c r="E652" s="49">
        <v>45444</v>
      </c>
      <c r="F652" s="3">
        <f t="shared" si="38"/>
        <v>45382</v>
      </c>
      <c r="G652" s="28">
        <v>5690</v>
      </c>
      <c r="H652" s="32">
        <f t="shared" si="37"/>
        <v>180</v>
      </c>
      <c r="I652" s="4">
        <v>0</v>
      </c>
      <c r="K652" s="28"/>
      <c r="L652" s="8"/>
      <c r="M652" s="9"/>
      <c r="N652" s="9"/>
      <c r="O652" s="9"/>
      <c r="P652" s="9"/>
      <c r="Q652" s="10"/>
    </row>
    <row r="653" spans="1:17" ht="14.4" x14ac:dyDescent="0.3">
      <c r="A653" s="32">
        <f t="shared" si="36"/>
        <v>577</v>
      </c>
      <c r="B653" s="21" t="s">
        <v>700</v>
      </c>
      <c r="C653" s="45" t="s">
        <v>638</v>
      </c>
      <c r="D653" s="20" t="s">
        <v>621</v>
      </c>
      <c r="E653" s="49">
        <v>45448</v>
      </c>
      <c r="F653" s="3">
        <f t="shared" si="38"/>
        <v>45382</v>
      </c>
      <c r="G653" s="28">
        <v>1523</v>
      </c>
      <c r="H653" s="32">
        <f t="shared" si="37"/>
        <v>180</v>
      </c>
      <c r="I653" s="4">
        <v>0</v>
      </c>
      <c r="K653" s="28"/>
      <c r="L653" s="8"/>
      <c r="M653" s="9"/>
      <c r="N653" s="9"/>
      <c r="O653" s="9"/>
      <c r="P653" s="9"/>
      <c r="Q653" s="10"/>
    </row>
    <row r="654" spans="1:17" ht="14.4" x14ac:dyDescent="0.3">
      <c r="A654" s="32">
        <f t="shared" si="36"/>
        <v>578</v>
      </c>
      <c r="B654" s="21" t="s">
        <v>701</v>
      </c>
      <c r="C654" s="45" t="s">
        <v>638</v>
      </c>
      <c r="D654" s="20" t="s">
        <v>621</v>
      </c>
      <c r="E654" s="49">
        <v>45448</v>
      </c>
      <c r="F654" s="3">
        <f t="shared" si="38"/>
        <v>45382</v>
      </c>
      <c r="G654" s="28">
        <v>4057</v>
      </c>
      <c r="H654" s="32">
        <f t="shared" si="37"/>
        <v>180</v>
      </c>
      <c r="I654" s="4">
        <v>0</v>
      </c>
      <c r="K654" s="28"/>
      <c r="L654" s="8"/>
      <c r="M654" s="9"/>
      <c r="N654" s="9"/>
      <c r="O654" s="9"/>
      <c r="P654" s="9"/>
      <c r="Q654" s="10"/>
    </row>
    <row r="655" spans="1:17" ht="14.4" x14ac:dyDescent="0.3">
      <c r="A655" s="32">
        <f t="shared" si="36"/>
        <v>579</v>
      </c>
      <c r="B655" s="21" t="s">
        <v>702</v>
      </c>
      <c r="C655" s="45" t="s">
        <v>638</v>
      </c>
      <c r="D655" s="20" t="s">
        <v>621</v>
      </c>
      <c r="E655" s="49">
        <v>45454</v>
      </c>
      <c r="F655" s="3">
        <f t="shared" si="38"/>
        <v>45382</v>
      </c>
      <c r="G655" s="28">
        <v>1367520</v>
      </c>
      <c r="H655" s="32">
        <f t="shared" si="37"/>
        <v>180</v>
      </c>
      <c r="I655" s="4">
        <v>0</v>
      </c>
      <c r="K655" s="28"/>
      <c r="L655" s="8"/>
      <c r="M655" s="9"/>
      <c r="N655" s="9"/>
      <c r="O655" s="9"/>
      <c r="P655" s="9"/>
      <c r="Q655" s="10"/>
    </row>
    <row r="656" spans="1:17" ht="14.4" x14ac:dyDescent="0.3">
      <c r="A656" s="32">
        <f t="shared" si="36"/>
        <v>580</v>
      </c>
      <c r="B656" s="21" t="s">
        <v>703</v>
      </c>
      <c r="C656" s="45" t="s">
        <v>638</v>
      </c>
      <c r="D656" s="20" t="s">
        <v>621</v>
      </c>
      <c r="E656" s="49">
        <v>45458</v>
      </c>
      <c r="F656" s="3">
        <f t="shared" si="38"/>
        <v>45382</v>
      </c>
      <c r="G656" s="28">
        <v>1227200</v>
      </c>
      <c r="H656" s="32">
        <f t="shared" si="37"/>
        <v>180</v>
      </c>
      <c r="I656" s="4">
        <v>0</v>
      </c>
      <c r="K656" s="28"/>
      <c r="L656" s="8"/>
      <c r="M656" s="9"/>
      <c r="N656" s="9"/>
      <c r="O656" s="9"/>
      <c r="P656" s="9"/>
      <c r="Q656" s="10"/>
    </row>
    <row r="657" spans="1:17" ht="14.4" x14ac:dyDescent="0.3">
      <c r="A657" s="32">
        <f t="shared" si="36"/>
        <v>574</v>
      </c>
      <c r="B657" s="21" t="s">
        <v>704</v>
      </c>
      <c r="C657" s="45" t="s">
        <v>638</v>
      </c>
      <c r="D657" s="20" t="s">
        <v>621</v>
      </c>
      <c r="E657" s="49">
        <v>45462</v>
      </c>
      <c r="F657" s="3">
        <f t="shared" si="38"/>
        <v>45382</v>
      </c>
      <c r="G657" s="28">
        <v>30680</v>
      </c>
      <c r="H657" s="32">
        <f t="shared" si="37"/>
        <v>180</v>
      </c>
      <c r="I657" s="4">
        <v>0</v>
      </c>
      <c r="K657" s="28"/>
      <c r="L657" s="8"/>
      <c r="M657" s="9"/>
      <c r="N657" s="9"/>
      <c r="O657" s="9"/>
      <c r="P657" s="9"/>
      <c r="Q657" s="10"/>
    </row>
    <row r="658" spans="1:17" ht="14.4" x14ac:dyDescent="0.3">
      <c r="A658" s="32">
        <f t="shared" si="36"/>
        <v>576</v>
      </c>
      <c r="B658" s="21" t="s">
        <v>705</v>
      </c>
      <c r="C658" s="45" t="s">
        <v>638</v>
      </c>
      <c r="D658" s="20" t="s">
        <v>621</v>
      </c>
      <c r="E658" s="49">
        <v>45471</v>
      </c>
      <c r="F658" s="3">
        <f t="shared" si="38"/>
        <v>45382</v>
      </c>
      <c r="G658" s="28">
        <v>126384</v>
      </c>
      <c r="H658" s="32">
        <f t="shared" si="37"/>
        <v>180</v>
      </c>
      <c r="I658" s="4">
        <v>0</v>
      </c>
      <c r="K658" s="28"/>
      <c r="L658" s="8"/>
      <c r="M658" s="9"/>
      <c r="N658" s="9"/>
      <c r="O658" s="9"/>
      <c r="P658" s="9"/>
      <c r="Q658" s="10"/>
    </row>
    <row r="659" spans="1:17" ht="14.4" x14ac:dyDescent="0.3">
      <c r="A659" s="32">
        <f t="shared" si="36"/>
        <v>582</v>
      </c>
      <c r="B659" s="21" t="s">
        <v>706</v>
      </c>
      <c r="C659" s="45" t="s">
        <v>638</v>
      </c>
      <c r="D659" s="20" t="s">
        <v>621</v>
      </c>
      <c r="E659" s="49">
        <v>45474</v>
      </c>
      <c r="F659" s="3">
        <f t="shared" si="38"/>
        <v>45382</v>
      </c>
      <c r="G659" s="28">
        <v>1200000</v>
      </c>
      <c r="H659" s="32">
        <f t="shared" si="37"/>
        <v>180</v>
      </c>
      <c r="I659" s="4">
        <v>0</v>
      </c>
      <c r="K659" s="28"/>
      <c r="L659" s="8"/>
      <c r="M659" s="9"/>
      <c r="N659" s="9"/>
      <c r="O659" s="9"/>
      <c r="P659" s="9"/>
      <c r="Q659" s="10"/>
    </row>
    <row r="660" spans="1:17" ht="14.4" x14ac:dyDescent="0.3">
      <c r="A660" s="32">
        <f t="shared" si="36"/>
        <v>583</v>
      </c>
      <c r="B660" s="21" t="s">
        <v>707</v>
      </c>
      <c r="C660" s="45" t="s">
        <v>638</v>
      </c>
      <c r="D660" s="20" t="s">
        <v>621</v>
      </c>
      <c r="E660" s="49">
        <v>45479</v>
      </c>
      <c r="F660" s="3">
        <f t="shared" si="38"/>
        <v>45382</v>
      </c>
      <c r="G660" s="28">
        <v>217000</v>
      </c>
      <c r="H660" s="32">
        <f t="shared" si="37"/>
        <v>180</v>
      </c>
      <c r="I660" s="4">
        <v>0</v>
      </c>
      <c r="K660" s="28"/>
      <c r="L660" s="8"/>
      <c r="M660" s="9"/>
      <c r="N660" s="9"/>
      <c r="O660" s="9"/>
      <c r="P660" s="9"/>
      <c r="Q660" s="10"/>
    </row>
    <row r="661" spans="1:17" ht="14.4" x14ac:dyDescent="0.3">
      <c r="A661" s="32">
        <f t="shared" si="36"/>
        <v>584</v>
      </c>
      <c r="B661" s="21" t="s">
        <v>708</v>
      </c>
      <c r="C661" s="45" t="s">
        <v>638</v>
      </c>
      <c r="D661" s="20" t="s">
        <v>621</v>
      </c>
      <c r="E661" s="49">
        <v>45481</v>
      </c>
      <c r="F661" s="3">
        <f t="shared" si="38"/>
        <v>45382</v>
      </c>
      <c r="G661" s="28">
        <v>19712</v>
      </c>
      <c r="H661" s="32">
        <f t="shared" si="37"/>
        <v>180</v>
      </c>
      <c r="I661" s="4">
        <v>0</v>
      </c>
      <c r="K661" s="28"/>
      <c r="L661" s="8"/>
      <c r="M661" s="9"/>
      <c r="N661" s="9"/>
      <c r="O661" s="9"/>
      <c r="P661" s="9"/>
      <c r="Q661" s="10"/>
    </row>
    <row r="662" spans="1:17" ht="14.4" x14ac:dyDescent="0.3">
      <c r="A662" s="32">
        <f t="shared" si="36"/>
        <v>585</v>
      </c>
      <c r="B662" s="21" t="s">
        <v>709</v>
      </c>
      <c r="C662" s="45" t="s">
        <v>638</v>
      </c>
      <c r="D662" s="20" t="s">
        <v>621</v>
      </c>
      <c r="E662" s="49">
        <v>45484</v>
      </c>
      <c r="F662" s="3">
        <f t="shared" si="38"/>
        <v>45382</v>
      </c>
      <c r="G662" s="28">
        <v>141600</v>
      </c>
      <c r="H662" s="32">
        <f t="shared" si="37"/>
        <v>180</v>
      </c>
      <c r="I662" s="4">
        <v>0</v>
      </c>
      <c r="K662" s="28"/>
      <c r="L662" s="8"/>
      <c r="M662" s="9"/>
      <c r="N662" s="9"/>
      <c r="O662" s="9"/>
      <c r="P662" s="9"/>
      <c r="Q662" s="10"/>
    </row>
    <row r="663" spans="1:17" ht="14.4" x14ac:dyDescent="0.3">
      <c r="A663" s="32">
        <f t="shared" si="36"/>
        <v>586</v>
      </c>
      <c r="B663" s="21" t="s">
        <v>710</v>
      </c>
      <c r="C663" s="45" t="s">
        <v>638</v>
      </c>
      <c r="D663" s="20" t="s">
        <v>621</v>
      </c>
      <c r="E663" s="49">
        <v>45486</v>
      </c>
      <c r="F663" s="3">
        <f t="shared" si="38"/>
        <v>45382</v>
      </c>
      <c r="G663" s="28">
        <v>17110</v>
      </c>
      <c r="H663" s="32">
        <f t="shared" si="37"/>
        <v>180</v>
      </c>
      <c r="I663" s="4">
        <v>0</v>
      </c>
      <c r="K663" s="28"/>
      <c r="L663" s="8"/>
      <c r="M663" s="9"/>
      <c r="N663" s="9"/>
      <c r="O663" s="9"/>
      <c r="P663" s="9"/>
      <c r="Q663" s="10"/>
    </row>
    <row r="664" spans="1:17" ht="14.4" x14ac:dyDescent="0.3">
      <c r="A664" s="32">
        <f t="shared" si="36"/>
        <v>587</v>
      </c>
      <c r="B664" s="21" t="s">
        <v>711</v>
      </c>
      <c r="C664" s="45" t="s">
        <v>638</v>
      </c>
      <c r="D664" s="20" t="s">
        <v>621</v>
      </c>
      <c r="E664" s="49">
        <v>45489</v>
      </c>
      <c r="F664" s="3">
        <f t="shared" si="38"/>
        <v>45382</v>
      </c>
      <c r="G664" s="28">
        <v>7000</v>
      </c>
      <c r="H664" s="32">
        <f t="shared" si="37"/>
        <v>180</v>
      </c>
      <c r="I664" s="4">
        <v>0</v>
      </c>
      <c r="K664" s="28"/>
      <c r="L664" s="8"/>
      <c r="M664" s="9"/>
      <c r="N664" s="9"/>
      <c r="O664" s="9"/>
      <c r="P664" s="9"/>
      <c r="Q664" s="10"/>
    </row>
    <row r="665" spans="1:17" ht="14.4" x14ac:dyDescent="0.3">
      <c r="A665" s="32">
        <f t="shared" si="36"/>
        <v>588</v>
      </c>
      <c r="B665" s="21" t="s">
        <v>712</v>
      </c>
      <c r="C665" s="45" t="s">
        <v>638</v>
      </c>
      <c r="D665" s="20" t="s">
        <v>621</v>
      </c>
      <c r="E665" s="49">
        <v>45490</v>
      </c>
      <c r="F665" s="3">
        <f t="shared" si="38"/>
        <v>45382</v>
      </c>
      <c r="G665" s="28">
        <v>10640</v>
      </c>
      <c r="H665" s="32">
        <f t="shared" si="37"/>
        <v>180</v>
      </c>
      <c r="I665" s="4">
        <v>0</v>
      </c>
      <c r="K665" s="28"/>
      <c r="L665" s="8"/>
      <c r="M665" s="9"/>
      <c r="N665" s="9"/>
      <c r="O665" s="9"/>
      <c r="P665" s="9"/>
      <c r="Q665" s="10"/>
    </row>
    <row r="666" spans="1:17" ht="14.4" x14ac:dyDescent="0.3">
      <c r="A666" s="32">
        <f t="shared" si="36"/>
        <v>589</v>
      </c>
      <c r="B666" s="21" t="s">
        <v>713</v>
      </c>
      <c r="C666" s="45" t="s">
        <v>638</v>
      </c>
      <c r="D666" s="20" t="s">
        <v>621</v>
      </c>
      <c r="E666" s="49">
        <v>45502</v>
      </c>
      <c r="F666" s="3">
        <f t="shared" si="38"/>
        <v>45382</v>
      </c>
      <c r="G666" s="28">
        <v>1210</v>
      </c>
      <c r="H666" s="32">
        <f t="shared" si="37"/>
        <v>180</v>
      </c>
      <c r="I666" s="4">
        <v>0</v>
      </c>
      <c r="K666" s="28"/>
      <c r="L666" s="8"/>
      <c r="M666" s="9"/>
      <c r="N666" s="9"/>
      <c r="O666" s="9"/>
      <c r="P666" s="9"/>
      <c r="Q666" s="10"/>
    </row>
    <row r="667" spans="1:17" ht="14.4" x14ac:dyDescent="0.3">
      <c r="A667" s="32">
        <f t="shared" si="36"/>
        <v>590</v>
      </c>
      <c r="B667" s="21" t="s">
        <v>714</v>
      </c>
      <c r="C667" s="45" t="s">
        <v>638</v>
      </c>
      <c r="D667" s="20" t="s">
        <v>621</v>
      </c>
      <c r="E667" s="49">
        <v>45504</v>
      </c>
      <c r="F667" s="3">
        <f t="shared" si="38"/>
        <v>45382</v>
      </c>
      <c r="G667" s="28">
        <v>6552</v>
      </c>
      <c r="H667" s="32">
        <f t="shared" si="37"/>
        <v>180</v>
      </c>
      <c r="I667" s="4">
        <v>0</v>
      </c>
      <c r="K667" s="28"/>
      <c r="L667" s="8"/>
      <c r="M667" s="9"/>
      <c r="N667" s="9"/>
      <c r="O667" s="9"/>
      <c r="P667" s="9"/>
      <c r="Q667" s="10"/>
    </row>
    <row r="668" spans="1:17" ht="14.4" x14ac:dyDescent="0.3">
      <c r="A668" s="32">
        <f t="shared" si="36"/>
        <v>591</v>
      </c>
      <c r="B668" s="21" t="s">
        <v>715</v>
      </c>
      <c r="C668" s="45" t="s">
        <v>638</v>
      </c>
      <c r="D668" s="20" t="s">
        <v>621</v>
      </c>
      <c r="E668" s="49">
        <v>45506</v>
      </c>
      <c r="F668" s="3">
        <f t="shared" si="38"/>
        <v>45382</v>
      </c>
      <c r="G668" s="28">
        <v>13160</v>
      </c>
      <c r="H668" s="32">
        <f t="shared" si="37"/>
        <v>180</v>
      </c>
      <c r="I668" s="4">
        <v>0</v>
      </c>
      <c r="K668" s="28"/>
      <c r="L668" s="8"/>
      <c r="M668" s="9"/>
      <c r="N668" s="9"/>
      <c r="O668" s="9"/>
      <c r="P668" s="9"/>
      <c r="Q668" s="10"/>
    </row>
    <row r="669" spans="1:17" ht="14.4" x14ac:dyDescent="0.3">
      <c r="A669" s="32">
        <f t="shared" si="36"/>
        <v>592</v>
      </c>
      <c r="B669" s="21" t="s">
        <v>716</v>
      </c>
      <c r="C669" s="45" t="s">
        <v>638</v>
      </c>
      <c r="D669" s="20" t="s">
        <v>621</v>
      </c>
      <c r="E669" s="49">
        <v>45510</v>
      </c>
      <c r="F669" s="3">
        <f t="shared" si="38"/>
        <v>45382</v>
      </c>
      <c r="G669" s="28">
        <v>106400</v>
      </c>
      <c r="H669" s="32">
        <f t="shared" si="37"/>
        <v>180</v>
      </c>
      <c r="I669" s="4">
        <v>0</v>
      </c>
      <c r="K669" s="28"/>
      <c r="L669" s="8"/>
      <c r="M669" s="9"/>
      <c r="N669" s="9"/>
      <c r="O669" s="9"/>
      <c r="P669" s="9"/>
      <c r="Q669" s="10"/>
    </row>
    <row r="670" spans="1:17" ht="14.4" x14ac:dyDescent="0.3">
      <c r="A670" s="32">
        <f t="shared" si="36"/>
        <v>593</v>
      </c>
      <c r="B670" s="21" t="s">
        <v>717</v>
      </c>
      <c r="C670" s="45" t="s">
        <v>638</v>
      </c>
      <c r="D670" s="20" t="s">
        <v>621</v>
      </c>
      <c r="E670" s="49">
        <v>45510</v>
      </c>
      <c r="F670" s="3">
        <f t="shared" si="38"/>
        <v>45382</v>
      </c>
      <c r="G670" s="28">
        <v>71680</v>
      </c>
      <c r="H670" s="32">
        <f t="shared" si="37"/>
        <v>180</v>
      </c>
      <c r="I670" s="4">
        <v>0</v>
      </c>
      <c r="K670" s="28"/>
      <c r="L670" s="8"/>
      <c r="M670" s="9"/>
      <c r="N670" s="9"/>
      <c r="O670" s="9"/>
      <c r="P670" s="9"/>
      <c r="Q670" s="10"/>
    </row>
    <row r="671" spans="1:17" ht="14.4" x14ac:dyDescent="0.3">
      <c r="A671" s="32">
        <f t="shared" si="36"/>
        <v>594</v>
      </c>
      <c r="B671" s="21" t="s">
        <v>718</v>
      </c>
      <c r="C671" s="45" t="s">
        <v>638</v>
      </c>
      <c r="D671" s="20" t="s">
        <v>621</v>
      </c>
      <c r="E671" s="49">
        <v>45516</v>
      </c>
      <c r="F671" s="3">
        <f t="shared" si="38"/>
        <v>45382</v>
      </c>
      <c r="G671" s="28">
        <v>300160</v>
      </c>
      <c r="H671" s="32">
        <f t="shared" si="37"/>
        <v>180</v>
      </c>
      <c r="I671" s="4">
        <v>0</v>
      </c>
      <c r="K671" s="28"/>
      <c r="L671" s="8"/>
      <c r="M671" s="9"/>
      <c r="N671" s="9"/>
      <c r="O671" s="9"/>
      <c r="P671" s="9"/>
      <c r="Q671" s="10"/>
    </row>
    <row r="672" spans="1:17" ht="14.4" x14ac:dyDescent="0.3">
      <c r="A672" s="32">
        <f t="shared" si="36"/>
        <v>595</v>
      </c>
      <c r="B672" s="21" t="s">
        <v>719</v>
      </c>
      <c r="C672" s="45" t="s">
        <v>638</v>
      </c>
      <c r="D672" s="20" t="s">
        <v>621</v>
      </c>
      <c r="E672" s="49">
        <v>45516</v>
      </c>
      <c r="F672" s="3">
        <f t="shared" si="38"/>
        <v>45382</v>
      </c>
      <c r="G672" s="28">
        <v>250000</v>
      </c>
      <c r="H672" s="32">
        <f t="shared" si="37"/>
        <v>180</v>
      </c>
      <c r="I672" s="4">
        <v>0</v>
      </c>
      <c r="K672" s="28"/>
      <c r="L672" s="8"/>
      <c r="M672" s="9"/>
      <c r="N672" s="9"/>
      <c r="O672" s="9"/>
      <c r="P672" s="9"/>
      <c r="Q672" s="10"/>
    </row>
    <row r="673" spans="1:17" ht="14.4" x14ac:dyDescent="0.3">
      <c r="A673" s="32">
        <f t="shared" si="36"/>
        <v>596</v>
      </c>
      <c r="B673" s="21" t="s">
        <v>720</v>
      </c>
      <c r="C673" s="45" t="s">
        <v>638</v>
      </c>
      <c r="D673" s="20" t="s">
        <v>621</v>
      </c>
      <c r="E673" s="49">
        <v>45517</v>
      </c>
      <c r="F673" s="3">
        <f t="shared" si="38"/>
        <v>45382</v>
      </c>
      <c r="G673" s="28">
        <v>84000</v>
      </c>
      <c r="H673" s="32">
        <f t="shared" si="37"/>
        <v>180</v>
      </c>
      <c r="I673" s="4">
        <v>0</v>
      </c>
      <c r="K673" s="28"/>
      <c r="L673" s="8"/>
      <c r="M673" s="9"/>
      <c r="N673" s="9"/>
      <c r="O673" s="9"/>
      <c r="P673" s="9"/>
      <c r="Q673" s="10"/>
    </row>
    <row r="674" spans="1:17" ht="14.4" x14ac:dyDescent="0.3">
      <c r="A674" s="32">
        <f t="shared" si="36"/>
        <v>570</v>
      </c>
      <c r="B674" s="21" t="s">
        <v>721</v>
      </c>
      <c r="C674" s="45" t="s">
        <v>638</v>
      </c>
      <c r="D674" s="20" t="s">
        <v>621</v>
      </c>
      <c r="E674" s="49">
        <v>45527</v>
      </c>
      <c r="F674" s="3">
        <f t="shared" si="38"/>
        <v>45382</v>
      </c>
      <c r="G674" s="28">
        <v>2885000</v>
      </c>
      <c r="H674" s="32">
        <f t="shared" si="37"/>
        <v>180</v>
      </c>
      <c r="I674" s="4">
        <v>0</v>
      </c>
      <c r="K674" s="28"/>
      <c r="L674" s="8"/>
      <c r="M674" s="9"/>
      <c r="N674" s="9"/>
      <c r="O674" s="9"/>
      <c r="P674" s="9"/>
      <c r="Q674" s="10"/>
    </row>
    <row r="675" spans="1:17" ht="14.4" x14ac:dyDescent="0.3">
      <c r="A675" s="32">
        <f t="shared" si="36"/>
        <v>571</v>
      </c>
      <c r="B675" s="21" t="s">
        <v>722</v>
      </c>
      <c r="C675" s="45" t="s">
        <v>638</v>
      </c>
      <c r="D675" s="20" t="s">
        <v>621</v>
      </c>
      <c r="E675" s="49">
        <v>45537</v>
      </c>
      <c r="F675" s="3">
        <f t="shared" si="38"/>
        <v>45382</v>
      </c>
      <c r="G675" s="28">
        <v>11760</v>
      </c>
      <c r="H675" s="32">
        <f t="shared" si="37"/>
        <v>180</v>
      </c>
      <c r="I675" s="4">
        <v>0</v>
      </c>
      <c r="K675" s="28"/>
      <c r="L675" s="8"/>
      <c r="M675" s="9"/>
      <c r="N675" s="9"/>
      <c r="O675" s="9"/>
      <c r="P675" s="9"/>
      <c r="Q675" s="10"/>
    </row>
    <row r="676" spans="1:17" ht="14.4" x14ac:dyDescent="0.3">
      <c r="A676" s="32">
        <f t="shared" si="36"/>
        <v>572</v>
      </c>
      <c r="B676" s="21" t="s">
        <v>723</v>
      </c>
      <c r="C676" s="45" t="s">
        <v>638</v>
      </c>
      <c r="D676" s="20" t="s">
        <v>621</v>
      </c>
      <c r="E676" s="49">
        <v>45540</v>
      </c>
      <c r="F676" s="3">
        <f t="shared" si="38"/>
        <v>45382</v>
      </c>
      <c r="G676" s="28">
        <v>1280</v>
      </c>
      <c r="H676" s="32">
        <f t="shared" si="37"/>
        <v>180</v>
      </c>
      <c r="I676" s="4">
        <v>0</v>
      </c>
      <c r="K676" s="28"/>
      <c r="L676" s="8"/>
      <c r="M676" s="9"/>
      <c r="N676" s="9"/>
      <c r="O676" s="9"/>
      <c r="P676" s="9"/>
      <c r="Q676" s="10"/>
    </row>
    <row r="677" spans="1:17" ht="14.4" x14ac:dyDescent="0.3">
      <c r="A677" s="32">
        <f t="shared" si="36"/>
        <v>573</v>
      </c>
      <c r="B677" s="21" t="s">
        <v>724</v>
      </c>
      <c r="C677" s="45" t="s">
        <v>638</v>
      </c>
      <c r="D677" s="20" t="s">
        <v>621</v>
      </c>
      <c r="E677" s="49">
        <v>45541</v>
      </c>
      <c r="F677" s="3">
        <f t="shared" si="38"/>
        <v>45382</v>
      </c>
      <c r="G677" s="28">
        <v>3808</v>
      </c>
      <c r="H677" s="32">
        <f t="shared" si="37"/>
        <v>180</v>
      </c>
      <c r="I677" s="4">
        <v>0</v>
      </c>
      <c r="K677" s="28"/>
      <c r="L677" s="8"/>
      <c r="M677" s="9"/>
      <c r="N677" s="9"/>
      <c r="O677" s="9"/>
      <c r="P677" s="9"/>
      <c r="Q677" s="10"/>
    </row>
    <row r="678" spans="1:17" ht="14.4" x14ac:dyDescent="0.3">
      <c r="A678" s="32">
        <f t="shared" si="36"/>
        <v>574</v>
      </c>
      <c r="B678" s="21" t="s">
        <v>725</v>
      </c>
      <c r="C678" s="45" t="s">
        <v>638</v>
      </c>
      <c r="D678" s="20" t="s">
        <v>621</v>
      </c>
      <c r="E678" s="49">
        <v>45553</v>
      </c>
      <c r="F678" s="3">
        <f t="shared" si="38"/>
        <v>45382</v>
      </c>
      <c r="G678" s="28">
        <v>27440</v>
      </c>
      <c r="H678" s="32">
        <f t="shared" si="37"/>
        <v>180</v>
      </c>
      <c r="I678" s="4">
        <v>0</v>
      </c>
      <c r="K678" s="28"/>
      <c r="L678" s="8"/>
      <c r="M678" s="9"/>
      <c r="N678" s="9"/>
      <c r="O678" s="9"/>
      <c r="P678" s="9"/>
      <c r="Q678" s="10"/>
    </row>
    <row r="679" spans="1:17" ht="14.4" x14ac:dyDescent="0.3">
      <c r="A679" s="32">
        <f t="shared" si="36"/>
        <v>575</v>
      </c>
      <c r="B679" s="21" t="s">
        <v>726</v>
      </c>
      <c r="C679" s="45" t="s">
        <v>638</v>
      </c>
      <c r="D679" s="20" t="s">
        <v>621</v>
      </c>
      <c r="E679" s="49">
        <v>45563</v>
      </c>
      <c r="F679" s="3">
        <f t="shared" si="38"/>
        <v>45382</v>
      </c>
      <c r="G679" s="28">
        <v>84000</v>
      </c>
      <c r="H679" s="32">
        <f t="shared" si="37"/>
        <v>180</v>
      </c>
      <c r="I679" s="4">
        <v>0</v>
      </c>
      <c r="K679" s="28"/>
      <c r="L679" s="8"/>
      <c r="M679" s="9"/>
      <c r="N679" s="9"/>
      <c r="O679" s="9"/>
      <c r="P679" s="9"/>
      <c r="Q679" s="10"/>
    </row>
    <row r="680" spans="1:17" ht="14.4" x14ac:dyDescent="0.3">
      <c r="A680" s="32">
        <f t="shared" si="36"/>
        <v>576</v>
      </c>
      <c r="B680" s="21" t="s">
        <v>727</v>
      </c>
      <c r="C680" s="45" t="s">
        <v>638</v>
      </c>
      <c r="D680" s="20" t="s">
        <v>621</v>
      </c>
      <c r="E680" s="49">
        <v>45582</v>
      </c>
      <c r="F680" s="3">
        <f t="shared" si="38"/>
        <v>45382</v>
      </c>
      <c r="G680" s="28">
        <v>84000</v>
      </c>
      <c r="H680" s="32">
        <f t="shared" si="37"/>
        <v>180</v>
      </c>
      <c r="I680" s="4">
        <v>0</v>
      </c>
      <c r="K680" s="28"/>
      <c r="L680" s="8"/>
      <c r="M680" s="9"/>
      <c r="N680" s="9"/>
      <c r="O680" s="9"/>
      <c r="P680" s="9"/>
      <c r="Q680" s="10"/>
    </row>
    <row r="681" spans="1:17" ht="14.4" x14ac:dyDescent="0.3">
      <c r="A681" s="32">
        <f t="shared" si="36"/>
        <v>577</v>
      </c>
      <c r="B681" s="21" t="s">
        <v>728</v>
      </c>
      <c r="C681" s="45" t="s">
        <v>638</v>
      </c>
      <c r="D681" s="20" t="s">
        <v>621</v>
      </c>
      <c r="E681" s="49">
        <v>45587</v>
      </c>
      <c r="F681" s="3">
        <f t="shared" si="38"/>
        <v>45382</v>
      </c>
      <c r="G681" s="28">
        <v>147500</v>
      </c>
      <c r="H681" s="32">
        <f t="shared" si="37"/>
        <v>180</v>
      </c>
      <c r="I681" s="4">
        <v>0</v>
      </c>
      <c r="K681" s="28"/>
      <c r="L681" s="8"/>
      <c r="M681" s="9"/>
      <c r="N681" s="9"/>
      <c r="O681" s="9"/>
      <c r="P681" s="9"/>
      <c r="Q681" s="10"/>
    </row>
    <row r="682" spans="1:17" ht="14.4" x14ac:dyDescent="0.3">
      <c r="A682" s="32">
        <f t="shared" si="36"/>
        <v>578</v>
      </c>
      <c r="B682" s="21" t="s">
        <v>729</v>
      </c>
      <c r="C682" s="45" t="s">
        <v>638</v>
      </c>
      <c r="D682" s="20" t="s">
        <v>621</v>
      </c>
      <c r="E682" s="49">
        <v>45630</v>
      </c>
      <c r="F682" s="3">
        <f t="shared" si="38"/>
        <v>45382</v>
      </c>
      <c r="G682" s="28">
        <v>778800</v>
      </c>
      <c r="H682" s="32">
        <f t="shared" si="37"/>
        <v>180</v>
      </c>
      <c r="I682" s="4">
        <v>0</v>
      </c>
      <c r="K682" s="28"/>
      <c r="L682" s="8"/>
      <c r="M682" s="9"/>
      <c r="N682" s="9"/>
      <c r="O682" s="9"/>
      <c r="P682" s="9"/>
      <c r="Q682" s="10"/>
    </row>
    <row r="683" spans="1:17" ht="14.4" x14ac:dyDescent="0.3">
      <c r="A683" s="32">
        <f t="shared" si="36"/>
        <v>579</v>
      </c>
      <c r="B683" s="21" t="s">
        <v>730</v>
      </c>
      <c r="C683" s="45" t="s">
        <v>638</v>
      </c>
      <c r="D683" s="20" t="s">
        <v>621</v>
      </c>
      <c r="E683" s="49">
        <v>45633</v>
      </c>
      <c r="F683" s="3">
        <f t="shared" si="38"/>
        <v>45382</v>
      </c>
      <c r="G683" s="28">
        <v>117600</v>
      </c>
      <c r="H683" s="32">
        <f t="shared" si="37"/>
        <v>180</v>
      </c>
      <c r="I683" s="4">
        <v>0</v>
      </c>
      <c r="K683" s="28"/>
      <c r="L683" s="8"/>
      <c r="M683" s="9"/>
      <c r="N683" s="9"/>
      <c r="O683" s="9"/>
      <c r="P683" s="9"/>
      <c r="Q683" s="10"/>
    </row>
    <row r="684" spans="1:17" ht="14.4" x14ac:dyDescent="0.3">
      <c r="A684" s="32">
        <f t="shared" si="36"/>
        <v>572</v>
      </c>
      <c r="B684" s="21" t="s">
        <v>731</v>
      </c>
      <c r="C684" s="45" t="s">
        <v>638</v>
      </c>
      <c r="D684" s="20" t="s">
        <v>621</v>
      </c>
      <c r="E684" s="49">
        <v>45633</v>
      </c>
      <c r="F684" s="3">
        <f t="shared" si="38"/>
        <v>45382</v>
      </c>
      <c r="G684" s="28">
        <v>44800</v>
      </c>
      <c r="H684" s="32">
        <f t="shared" si="37"/>
        <v>180</v>
      </c>
      <c r="I684" s="4">
        <v>0</v>
      </c>
      <c r="K684" s="28"/>
      <c r="L684" s="8"/>
      <c r="M684" s="9"/>
      <c r="N684" s="9"/>
      <c r="O684" s="9"/>
      <c r="P684" s="9"/>
      <c r="Q684" s="10"/>
    </row>
    <row r="685" spans="1:17" ht="14.4" x14ac:dyDescent="0.3">
      <c r="A685" s="32">
        <f t="shared" si="36"/>
        <v>573</v>
      </c>
      <c r="B685" s="21" t="s">
        <v>732</v>
      </c>
      <c r="C685" s="45" t="s">
        <v>638</v>
      </c>
      <c r="D685" s="20" t="s">
        <v>621</v>
      </c>
      <c r="E685" s="49">
        <v>45644</v>
      </c>
      <c r="F685" s="3">
        <f t="shared" si="38"/>
        <v>45382</v>
      </c>
      <c r="G685" s="28">
        <v>13997</v>
      </c>
      <c r="H685" s="32">
        <f t="shared" si="37"/>
        <v>180</v>
      </c>
      <c r="I685" s="4">
        <v>0</v>
      </c>
      <c r="K685" s="28"/>
      <c r="L685" s="8"/>
      <c r="M685" s="9"/>
      <c r="N685" s="9"/>
      <c r="O685" s="9"/>
      <c r="P685" s="9"/>
      <c r="Q685" s="10"/>
    </row>
    <row r="686" spans="1:17" ht="14.4" x14ac:dyDescent="0.3">
      <c r="A686" s="32">
        <f t="shared" si="36"/>
        <v>574</v>
      </c>
      <c r="B686" s="21" t="s">
        <v>733</v>
      </c>
      <c r="C686" s="45" t="s">
        <v>638</v>
      </c>
      <c r="D686" s="20" t="s">
        <v>621</v>
      </c>
      <c r="E686" s="18">
        <v>45644</v>
      </c>
      <c r="F686" s="3">
        <f t="shared" si="38"/>
        <v>45382</v>
      </c>
      <c r="G686" s="28">
        <v>8960</v>
      </c>
      <c r="H686" s="32">
        <f t="shared" si="37"/>
        <v>180</v>
      </c>
      <c r="I686" s="4">
        <v>0</v>
      </c>
      <c r="K686" s="28"/>
      <c r="L686" s="8"/>
      <c r="M686" s="9"/>
      <c r="N686" s="9"/>
      <c r="O686" s="9"/>
      <c r="P686" s="9"/>
      <c r="Q686" s="10"/>
    </row>
    <row r="687" spans="1:17" ht="14.4" x14ac:dyDescent="0.3">
      <c r="A687" s="32">
        <f t="shared" si="36"/>
        <v>575</v>
      </c>
      <c r="B687" s="21" t="s">
        <v>734</v>
      </c>
      <c r="C687" s="45" t="s">
        <v>638</v>
      </c>
      <c r="D687" s="20" t="s">
        <v>621</v>
      </c>
      <c r="E687" s="18">
        <v>45644</v>
      </c>
      <c r="F687" s="3">
        <f t="shared" si="38"/>
        <v>45382</v>
      </c>
      <c r="G687" s="28">
        <v>7670</v>
      </c>
      <c r="H687" s="32">
        <f t="shared" si="37"/>
        <v>180</v>
      </c>
      <c r="I687" s="4">
        <v>0</v>
      </c>
      <c r="K687" s="28"/>
      <c r="L687" s="8"/>
      <c r="M687" s="9"/>
      <c r="N687" s="9"/>
      <c r="O687" s="9"/>
      <c r="P687" s="9"/>
      <c r="Q687" s="10"/>
    </row>
    <row r="688" spans="1:17" ht="14.4" x14ac:dyDescent="0.3">
      <c r="A688" s="32">
        <f t="shared" ref="A688" si="39">A651+1</f>
        <v>576</v>
      </c>
      <c r="B688" s="21" t="s">
        <v>735</v>
      </c>
      <c r="C688" s="45" t="s">
        <v>638</v>
      </c>
      <c r="D688" s="20" t="s">
        <v>621</v>
      </c>
      <c r="E688" s="18">
        <v>45650</v>
      </c>
      <c r="F688" s="3">
        <f t="shared" si="38"/>
        <v>45382</v>
      </c>
      <c r="G688" s="28">
        <v>900</v>
      </c>
      <c r="H688" s="32">
        <f t="shared" si="37"/>
        <v>180</v>
      </c>
      <c r="I688" s="4">
        <v>0</v>
      </c>
      <c r="K688" s="28"/>
      <c r="L688" s="8"/>
      <c r="M688" s="9"/>
      <c r="N688" s="9"/>
      <c r="O688" s="9"/>
      <c r="P688" s="9"/>
      <c r="Q688" s="10"/>
    </row>
  </sheetData>
  <autoFilter ref="A1:P688" xr:uid="{54BF15D0-30A5-495E-B408-0DA83C5CA11D}"/>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 &amp; 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vijayender rana</dc:creator>
  <cp:lastModifiedBy>Sangam Pralhad</cp:lastModifiedBy>
  <dcterms:created xsi:type="dcterms:W3CDTF">2025-05-05T08:17:48Z</dcterms:created>
  <dcterms:modified xsi:type="dcterms:W3CDTF">2025-05-05T09:15:29Z</dcterms:modified>
</cp:coreProperties>
</file>